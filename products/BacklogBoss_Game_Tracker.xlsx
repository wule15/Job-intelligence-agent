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ists" sheetId="2" state="visible" r:id="rId2"/>
    <sheet name="Game Library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111827"/>
      <sz val="18"/>
    </font>
    <font>
      <name val="Arial"/>
      <color rgb="004B5563"/>
      <sz val="11"/>
    </font>
    <font>
      <name val="Arial"/>
      <color rgb="00111827"/>
      <sz val="11"/>
    </font>
    <font>
      <name val="Arial"/>
      <b val="1"/>
      <color rgb="007C3AED"/>
      <sz val="12"/>
    </font>
    <font>
      <name val="Arial"/>
      <b val="1"/>
      <color rgb="00FFFFFF"/>
      <sz val="11"/>
    </font>
    <font>
      <name val="Arial"/>
      <color rgb="009CA3AF"/>
      <sz val="8"/>
    </font>
    <font>
      <name val="Arial"/>
      <b val="1"/>
      <color rgb="00111827"/>
      <sz val="11"/>
    </font>
    <font>
      <name val="Arial"/>
      <b val="1"/>
      <color rgb="007C3AED"/>
      <sz val="16"/>
    </font>
    <font>
      <name val="Arial"/>
      <b val="1"/>
      <color rgb="007C3AED"/>
      <sz val="13"/>
    </font>
    <font>
      <name val="Arial"/>
      <i val="1"/>
      <color rgb="009CA3A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AF2FB"/>
      </patternFill>
    </fill>
    <fill>
      <patternFill patternType="solid">
        <fgColor rgb="00F3F4F6"/>
      </patternFill>
    </fill>
    <fill>
      <patternFill patternType="solid">
        <fgColor rgb="00EDE9FE"/>
      </patternFill>
    </fill>
    <fill>
      <patternFill patternType="solid">
        <fgColor rgb="00FEF3C7"/>
      </patternFill>
    </fill>
  </fills>
  <borders count="8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4" fontId="3" fillId="3" borderId="1" applyAlignment="1" pivotButton="0" quotePrefix="0" xfId="0">
      <alignment horizontal="center"/>
    </xf>
    <xf numFmtId="4" fontId="3" fillId="4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0" borderId="0" pivotButton="0" quotePrefix="0" xfId="0"/>
    <xf numFmtId="3" fontId="8" fillId="5" borderId="1" applyAlignment="1" pivotButton="0" quotePrefix="0" xfId="0">
      <alignment horizontal="center"/>
    </xf>
    <xf numFmtId="4" fontId="8" fillId="5" borderId="1" applyAlignment="1" pivotButton="0" quotePrefix="0" xfId="0">
      <alignment horizontal="center"/>
    </xf>
    <xf numFmtId="165" fontId="8" fillId="5" borderId="1" applyAlignment="1" pivotButton="0" quotePrefix="0" xfId="0">
      <alignment horizontal="center"/>
    </xf>
    <xf numFmtId="9" fontId="8" fillId="5" borderId="1" applyAlignment="1" pivotButton="0" quotePrefix="0" xfId="0">
      <alignment horizontal="center"/>
    </xf>
    <xf numFmtId="3" fontId="8" fillId="6" borderId="1" applyAlignment="1" pivotButton="0" quotePrefix="0" xfId="0">
      <alignment horizontal="center"/>
    </xf>
    <xf numFmtId="0" fontId="9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1" pivotButton="0" quotePrefix="0" xfId="0"/>
    <xf numFmtId="0" fontId="7" fillId="0" borderId="1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10" fillId="0" borderId="0" pivotButton="0" quotePrefix="0" xfId="0"/>
    <xf numFmtId="0" fontId="7" fillId="0" borderId="1" pivotButton="0" quotePrefix="0" xfId="0"/>
    <xf numFmtId="4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BACKLOG BOSS</t>
        </is>
      </c>
    </row>
    <row r="3">
      <c r="B3" s="2" t="inlineStr">
        <is>
          <t>Beat your pile of shame. Your whole game library, owned by you.</t>
        </is>
      </c>
    </row>
    <row r="5">
      <c r="B5" s="3" t="inlineStr"/>
    </row>
    <row r="6">
      <c r="B6" s="4" t="inlineStr">
        <is>
          <t>HOW IT WORKS</t>
        </is>
      </c>
    </row>
    <row r="7">
      <c r="B7" s="3" t="inlineStr">
        <is>
          <t>1.  Go to the 'Game Library' tab. Add one row per game — fill the BLUE cells.</t>
        </is>
      </c>
    </row>
    <row r="8">
      <c r="B8" s="3" t="inlineStr">
        <is>
          <t>2.  Pick Platform, Genre, Status and Ownership from the dropdowns. Add hours, price paid and a rating as you go.</t>
        </is>
      </c>
    </row>
    <row r="9">
      <c r="B9" s="3" t="inlineStr">
        <is>
          <t>3.  The grey cells fill themselves (Cost/Hour). The 'Dashboard' tab updates live — counts, totals, best-value ranking.</t>
        </is>
      </c>
    </row>
    <row r="10">
      <c r="B10" s="3" t="inlineStr">
        <is>
          <t>4.  Can't decide what to play? The Dashboard's 'What To Play Next' picks a random game from your backlog.</t>
        </is>
      </c>
    </row>
    <row r="11">
      <c r="B11" s="3" t="inlineStr"/>
    </row>
    <row r="12">
      <c r="B12" s="4" t="inlineStr">
        <is>
          <t>WHAT THE DASHBOARD SHOWS YOU</t>
        </is>
      </c>
    </row>
    <row r="13">
      <c r="B13" s="3" t="inlineStr">
        <is>
          <t>•  Your collection at a glance — total games, hours, money spent, average rating, completion %.</t>
        </is>
      </c>
    </row>
    <row r="14">
      <c r="B14" s="3" t="inlineStr">
        <is>
          <t>•  A live count of every status, plus your Pile of Shame (games sitting in the backlog).</t>
        </is>
      </c>
    </row>
    <row r="15">
      <c r="B15" s="3" t="inlineStr">
        <is>
          <t>•  Best Value leaderboard — the games that gave you the most play per dollar, ranked automatically.</t>
        </is>
      </c>
    </row>
    <row r="16">
      <c r="B16" s="3" t="inlineStr">
        <is>
          <t>•  What To Play Next — a random backlog pick to kill decision paralysis.</t>
        </is>
      </c>
    </row>
    <row r="17">
      <c r="B17" s="3" t="inlineStr"/>
    </row>
    <row r="18">
      <c r="B18" s="4" t="inlineStr">
        <is>
          <t>TIPS</t>
        </is>
      </c>
    </row>
    <row r="19">
      <c r="B19" s="3" t="inlineStr">
        <is>
          <t>•  Add or edit Platforms, Genres and Statuses on the 'Lists' tab — the dropdowns update automatically.</t>
        </is>
      </c>
    </row>
    <row r="20">
      <c r="B20" s="3" t="inlineStr">
        <is>
          <t>•  Price Paid has no currency symbol, so it works in any currency — just be consistent.</t>
        </is>
      </c>
    </row>
    <row r="21">
      <c r="B21" s="3" t="inlineStr">
        <is>
          <t>•  Reroll 'What To Play Next': click any empty cell and press Enter (or Delete) to recalculate.</t>
        </is>
      </c>
    </row>
    <row r="22">
      <c r="B22" s="3" t="inlineStr">
        <is>
          <t>•  Honest note: a spreadsheet can't auto-import from Steam/PlayStation. Entry is manual — that's the point: it's yours, private, no login, and fully customisable.</t>
        </is>
      </c>
    </row>
    <row r="23">
      <c r="B23" s="3" t="inlineStr"/>
    </row>
    <row r="24">
      <c r="B24" s="4" t="inlineStr">
        <is>
          <t>LEGEND</t>
        </is>
      </c>
    </row>
    <row r="25">
      <c r="B25" s="3" t="inlineStr">
        <is>
          <t>BLUE cell = you type/pick here        GREY cell = calculated for you, don't 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</cols>
  <sheetData>
    <row r="1">
      <c r="A1" s="5" t="inlineStr">
        <is>
          <t>Platforms</t>
        </is>
      </c>
      <c r="B1" s="5" t="inlineStr">
        <is>
          <t>Genres</t>
        </is>
      </c>
      <c r="C1" s="5" t="inlineStr">
        <is>
          <t>Statuses</t>
        </is>
      </c>
      <c r="D1" s="5" t="inlineStr">
        <is>
          <t>Ownership</t>
        </is>
      </c>
    </row>
    <row r="2">
      <c r="A2" s="6" t="inlineStr">
        <is>
          <t>PC</t>
        </is>
      </c>
      <c r="B2" s="6" t="inlineStr">
        <is>
          <t>Action</t>
        </is>
      </c>
      <c r="C2" s="6" t="inlineStr">
        <is>
          <t>Backlog</t>
        </is>
      </c>
      <c r="D2" s="6" t="inlineStr">
        <is>
          <t>Physical</t>
        </is>
      </c>
    </row>
    <row r="3">
      <c r="A3" s="6" t="inlineStr">
        <is>
          <t>PlayStation 5</t>
        </is>
      </c>
      <c r="B3" s="6" t="inlineStr">
        <is>
          <t>Adventure</t>
        </is>
      </c>
      <c r="C3" s="6" t="inlineStr">
        <is>
          <t>Playing</t>
        </is>
      </c>
      <c r="D3" s="6" t="inlineStr">
        <is>
          <t>Digital</t>
        </is>
      </c>
    </row>
    <row r="4">
      <c r="A4" s="6" t="inlineStr">
        <is>
          <t>PlayStation 4</t>
        </is>
      </c>
      <c r="B4" s="6" t="inlineStr">
        <is>
          <t>RPG</t>
        </is>
      </c>
      <c r="C4" s="6" t="inlineStr">
        <is>
          <t>Beaten</t>
        </is>
      </c>
      <c r="D4" s="6" t="inlineStr">
        <is>
          <t>Subscription</t>
        </is>
      </c>
    </row>
    <row r="5">
      <c r="A5" s="6" t="inlineStr">
        <is>
          <t>Xbox Series</t>
        </is>
      </c>
      <c r="B5" s="6" t="inlineStr">
        <is>
          <t>JRPG</t>
        </is>
      </c>
      <c r="C5" s="6" t="inlineStr">
        <is>
          <t>Completed</t>
        </is>
      </c>
    </row>
    <row r="6">
      <c r="A6" s="6" t="inlineStr">
        <is>
          <t>Xbox One</t>
        </is>
      </c>
      <c r="B6" s="6" t="inlineStr">
        <is>
          <t>Shooter</t>
        </is>
      </c>
      <c r="C6" s="6" t="inlineStr">
        <is>
          <t>Dropped</t>
        </is>
      </c>
    </row>
    <row r="7">
      <c r="A7" s="6" t="inlineStr">
        <is>
          <t>Nintendo Switch</t>
        </is>
      </c>
      <c r="B7" s="6" t="inlineStr">
        <is>
          <t>Strategy</t>
        </is>
      </c>
      <c r="C7" s="6" t="inlineStr">
        <is>
          <t>Wishlist</t>
        </is>
      </c>
    </row>
    <row r="8">
      <c r="A8" s="6" t="inlineStr">
        <is>
          <t>Steam Deck</t>
        </is>
      </c>
      <c r="B8" s="6" t="inlineStr">
        <is>
          <t>Simulation</t>
        </is>
      </c>
    </row>
    <row r="9">
      <c r="A9" s="6" t="inlineStr">
        <is>
          <t>Mobile</t>
        </is>
      </c>
      <c r="B9" s="6" t="inlineStr">
        <is>
          <t>Sports</t>
        </is>
      </c>
    </row>
    <row r="10">
      <c r="A10" s="6" t="inlineStr">
        <is>
          <t>Retro</t>
        </is>
      </c>
      <c r="B10" s="6" t="inlineStr">
        <is>
          <t>Racing</t>
        </is>
      </c>
    </row>
    <row r="11">
      <c r="A11" s="6" t="inlineStr">
        <is>
          <t>Other</t>
        </is>
      </c>
      <c r="B11" s="6" t="inlineStr">
        <is>
          <t>Puzzle</t>
        </is>
      </c>
    </row>
    <row r="12">
      <c r="B12" s="6" t="inlineStr">
        <is>
          <t>Platformer</t>
        </is>
      </c>
    </row>
    <row r="13">
      <c r="B13" s="6" t="inlineStr">
        <is>
          <t>Metroidvania</t>
        </is>
      </c>
    </row>
    <row r="14">
      <c r="B14" s="6" t="inlineStr">
        <is>
          <t>Roguelike</t>
        </is>
      </c>
    </row>
    <row r="15">
      <c r="B15" s="6" t="inlineStr">
        <is>
          <t>Horror</t>
        </is>
      </c>
    </row>
    <row r="16">
      <c r="B16" s="6" t="inlineStr">
        <is>
          <t>Fighting</t>
        </is>
      </c>
    </row>
    <row r="17">
      <c r="B17" s="6" t="inlineStr">
        <is>
          <t>MMO</t>
        </is>
      </c>
    </row>
    <row r="18">
      <c r="B18" s="6" t="inlineStr">
        <is>
          <t>Indie</t>
        </is>
      </c>
    </row>
    <row r="19">
      <c r="B19" s="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2" customWidth="1" min="4" max="4"/>
    <col width="13" customWidth="1" min="5" max="5"/>
    <col width="10" customWidth="1" min="6" max="6"/>
    <col width="12" customWidth="1" min="7" max="7"/>
    <col width="11" customWidth="1" min="8" max="8"/>
    <col width="11" customWidth="1" min="9" max="9"/>
    <col width="13" customWidth="1" min="10" max="10"/>
    <col width="30" customWidth="1" min="11" max="11"/>
    <col width="7" customWidth="1" min="12" max="12"/>
    <col width="7" customWidth="1" min="13" max="13"/>
  </cols>
  <sheetData>
    <row r="1">
      <c r="A1" s="5" t="inlineStr">
        <is>
          <t>Title</t>
        </is>
      </c>
      <c r="B1" s="5" t="inlineStr">
        <is>
          <t>Platform</t>
        </is>
      </c>
      <c r="C1" s="5" t="inlineStr">
        <is>
          <t>Genre</t>
        </is>
      </c>
      <c r="D1" s="5" t="inlineStr">
        <is>
          <t>Status</t>
        </is>
      </c>
      <c r="E1" s="5" t="inlineStr">
        <is>
          <t>Ownership</t>
        </is>
      </c>
      <c r="F1" s="5" t="inlineStr">
        <is>
          <t>Rating /10</t>
        </is>
      </c>
      <c r="G1" s="5" t="inlineStr">
        <is>
          <t>Hours Played</t>
        </is>
      </c>
      <c r="H1" s="5" t="inlineStr">
        <is>
          <t>Price Paid</t>
        </is>
      </c>
      <c r="I1" s="5" t="inlineStr">
        <is>
          <t>Cost / Hour</t>
        </is>
      </c>
      <c r="J1" s="5" t="inlineStr">
        <is>
          <t>Date Beaten</t>
        </is>
      </c>
      <c r="K1" s="5" t="inlineStr">
        <is>
          <t>Notes / Review</t>
        </is>
      </c>
      <c r="L1" s="5" t="inlineStr">
        <is>
          <t>(auto)</t>
        </is>
      </c>
      <c r="M1" s="5" t="inlineStr">
        <is>
          <t>(auto)</t>
        </is>
      </c>
    </row>
    <row r="2">
      <c r="A2" s="6" t="inlineStr">
        <is>
          <t>Elden Ring</t>
        </is>
      </c>
      <c r="B2" s="7" t="inlineStr">
        <is>
          <t>PC</t>
        </is>
      </c>
      <c r="C2" s="7" t="inlineStr">
        <is>
          <t>Roguelike</t>
        </is>
      </c>
      <c r="D2" s="7" t="inlineStr">
        <is>
          <t>Beaten</t>
        </is>
      </c>
      <c r="E2" s="7" t="inlineStr">
        <is>
          <t>Digital</t>
        </is>
      </c>
      <c r="F2" s="7" t="n">
        <v>10</v>
      </c>
      <c r="G2" s="7" t="n">
        <v>95</v>
      </c>
      <c r="H2" s="8" t="n">
        <v>59.99</v>
      </c>
      <c r="I2" s="9">
        <f>IF(AND(ISNUMBER($G2),ISNUMBER($H2),$G2&gt;0),ROUND($H2/$G2,2),"")</f>
        <v/>
      </c>
      <c r="J2" s="10" t="n">
        <v>46063</v>
      </c>
      <c r="K2" s="6" t="inlineStr">
        <is>
          <t>Masterpiece</t>
        </is>
      </c>
      <c r="L2" s="11">
        <f>IF($D2="Backlog",COUNTIF($D$2:$D2,"Backlog"),"")</f>
        <v/>
      </c>
      <c r="M2" s="11">
        <f>IF(ISNUMBER($I2),$I2+ROW()/100000,"")</f>
        <v/>
      </c>
    </row>
    <row r="3">
      <c r="A3" s="6" t="inlineStr">
        <is>
          <t>Baldur's Gate 3</t>
        </is>
      </c>
      <c r="B3" s="7" t="inlineStr">
        <is>
          <t>PC</t>
        </is>
      </c>
      <c r="C3" s="7" t="inlineStr">
        <is>
          <t>RPG</t>
        </is>
      </c>
      <c r="D3" s="7" t="inlineStr">
        <is>
          <t>Playing</t>
        </is>
      </c>
      <c r="E3" s="7" t="inlineStr">
        <is>
          <t>Digital</t>
        </is>
      </c>
      <c r="F3" s="7" t="n">
        <v>10</v>
      </c>
      <c r="G3" s="7" t="n">
        <v>60</v>
      </c>
      <c r="H3" s="8" t="n">
        <v>59.99</v>
      </c>
      <c r="I3" s="9">
        <f>IF(AND(ISNUMBER($G3),ISNUMBER($H3),$G3&gt;0),ROUND($H3/$G3,2),"")</f>
        <v/>
      </c>
      <c r="J3" s="7" t="n"/>
      <c r="K3" s="6" t="inlineStr">
        <is>
          <t>Act 2, obsessed</t>
        </is>
      </c>
      <c r="L3" s="11">
        <f>IF($D3="Backlog",COUNTIF($D$2:$D3,"Backlog"),"")</f>
        <v/>
      </c>
      <c r="M3" s="11">
        <f>IF(ISNUMBER($I3),$I3+ROW()/100000,"")</f>
        <v/>
      </c>
    </row>
    <row r="4">
      <c r="A4" s="6" t="inlineStr">
        <is>
          <t>Hades</t>
        </is>
      </c>
      <c r="B4" s="7" t="inlineStr">
        <is>
          <t>PC</t>
        </is>
      </c>
      <c r="C4" s="7" t="inlineStr">
        <is>
          <t>Roguelike</t>
        </is>
      </c>
      <c r="D4" s="7" t="inlineStr">
        <is>
          <t>Completed</t>
        </is>
      </c>
      <c r="E4" s="7" t="inlineStr">
        <is>
          <t>Digital</t>
        </is>
      </c>
      <c r="F4" s="7" t="n">
        <v>9</v>
      </c>
      <c r="G4" s="7" t="n">
        <v>40</v>
      </c>
      <c r="H4" s="8" t="n">
        <v>24.99</v>
      </c>
      <c r="I4" s="9">
        <f>IF(AND(ISNUMBER($G4),ISNUMBER($H4),$G4&gt;0),ROUND($H4/$G4,2),"")</f>
        <v/>
      </c>
      <c r="J4" s="10" t="n">
        <v>45992</v>
      </c>
      <c r="K4" s="6" t="inlineStr">
        <is>
          <t>One more run...</t>
        </is>
      </c>
      <c r="L4" s="11">
        <f>IF($D4="Backlog",COUNTIF($D$2:$D4,"Backlog"),"")</f>
        <v/>
      </c>
      <c r="M4" s="11">
        <f>IF(ISNUMBER($I4),$I4+ROW()/100000,"")</f>
        <v/>
      </c>
    </row>
    <row r="5">
      <c r="A5" s="6" t="inlineStr">
        <is>
          <t>Cyberpunk 2077</t>
        </is>
      </c>
      <c r="B5" s="7" t="inlineStr">
        <is>
          <t>PC</t>
        </is>
      </c>
      <c r="C5" s="7" t="inlineStr">
        <is>
          <t>RPG</t>
        </is>
      </c>
      <c r="D5" s="7" t="inlineStr">
        <is>
          <t>Beaten</t>
        </is>
      </c>
      <c r="E5" s="7" t="inlineStr">
        <is>
          <t>Digital</t>
        </is>
      </c>
      <c r="F5" s="7" t="n">
        <v>8</v>
      </c>
      <c r="G5" s="7" t="n">
        <v>55</v>
      </c>
      <c r="H5" s="8" t="n">
        <v>29.99</v>
      </c>
      <c r="I5" s="9">
        <f>IF(AND(ISNUMBER($G5),ISNUMBER($H5),$G5&gt;0),ROUND($H5/$G5,2),"")</f>
        <v/>
      </c>
      <c r="J5" s="10" t="n">
        <v>46037</v>
      </c>
      <c r="K5" s="6" t="inlineStr">
        <is>
          <t>Great after patches</t>
        </is>
      </c>
      <c r="L5" s="11">
        <f>IF($D5="Backlog",COUNTIF($D$2:$D5,"Backlog"),"")</f>
        <v/>
      </c>
      <c r="M5" s="11">
        <f>IF(ISNUMBER($I5),$I5+ROW()/100000,"")</f>
        <v/>
      </c>
    </row>
    <row r="6">
      <c r="A6" s="6" t="inlineStr">
        <is>
          <t>Stardew Valley</t>
        </is>
      </c>
      <c r="B6" s="7" t="inlineStr">
        <is>
          <t>Nintendo Switch</t>
        </is>
      </c>
      <c r="C6" s="7" t="inlineStr">
        <is>
          <t>Simulation</t>
        </is>
      </c>
      <c r="D6" s="7" t="inlineStr">
        <is>
          <t>Playing</t>
        </is>
      </c>
      <c r="E6" s="7" t="inlineStr">
        <is>
          <t>Digital</t>
        </is>
      </c>
      <c r="F6" s="7" t="n">
        <v>9</v>
      </c>
      <c r="G6" s="7" t="n">
        <v>120</v>
      </c>
      <c r="H6" s="8" t="n">
        <v>13.99</v>
      </c>
      <c r="I6" s="9">
        <f>IF(AND(ISNUMBER($G6),ISNUMBER($H6),$G6&gt;0),ROUND($H6/$G6,2),"")</f>
        <v/>
      </c>
      <c r="J6" s="7" t="n"/>
      <c r="K6" s="6" t="inlineStr">
        <is>
          <t>Cozy forever</t>
        </is>
      </c>
      <c r="L6" s="11">
        <f>IF($D6="Backlog",COUNTIF($D$2:$D6,"Backlog"),"")</f>
        <v/>
      </c>
      <c r="M6" s="11">
        <f>IF(ISNUMBER($I6),$I6+ROW()/100000,"")</f>
        <v/>
      </c>
    </row>
    <row r="7">
      <c r="A7" s="6" t="inlineStr">
        <is>
          <t>God of War Ragnarok</t>
        </is>
      </c>
      <c r="B7" s="7" t="inlineStr">
        <is>
          <t>PlayStation 5</t>
        </is>
      </c>
      <c r="C7" s="7" t="inlineStr">
        <is>
          <t>Action</t>
        </is>
      </c>
      <c r="D7" s="7" t="inlineStr">
        <is>
          <t>Backlog</t>
        </is>
      </c>
      <c r="E7" s="7" t="inlineStr">
        <is>
          <t>Physical</t>
        </is>
      </c>
      <c r="F7" s="7" t="n"/>
      <c r="G7" s="7" t="n"/>
      <c r="H7" s="8" t="n">
        <v>49.99</v>
      </c>
      <c r="I7" s="9">
        <f>IF(AND(ISNUMBER($G7),ISNUMBER($H7),$G7&gt;0),ROUND($H7/$G7,2),"")</f>
        <v/>
      </c>
      <c r="J7" s="7" t="n"/>
      <c r="K7" s="6" t="inlineStr"/>
      <c r="L7" s="11">
        <f>IF($D7="Backlog",COUNTIF($D$2:$D7,"Backlog"),"")</f>
        <v/>
      </c>
      <c r="M7" s="11">
        <f>IF(ISNUMBER($I7),$I7+ROW()/100000,"")</f>
        <v/>
      </c>
    </row>
    <row r="8">
      <c r="A8" s="6" t="inlineStr">
        <is>
          <t>Zelda: Tears of the Kingdom</t>
        </is>
      </c>
      <c r="B8" s="7" t="inlineStr">
        <is>
          <t>Nintendo Switch</t>
        </is>
      </c>
      <c r="C8" s="7" t="inlineStr">
        <is>
          <t>Adventure</t>
        </is>
      </c>
      <c r="D8" s="7" t="inlineStr">
        <is>
          <t>Backlog</t>
        </is>
      </c>
      <c r="E8" s="7" t="inlineStr">
        <is>
          <t>Physical</t>
        </is>
      </c>
      <c r="F8" s="7" t="n"/>
      <c r="G8" s="7" t="n"/>
      <c r="H8" s="8" t="n">
        <v>69.98999999999999</v>
      </c>
      <c r="I8" s="9">
        <f>IF(AND(ISNUMBER($G8),ISNUMBER($H8),$G8&gt;0),ROUND($H8/$G8,2),"")</f>
        <v/>
      </c>
      <c r="J8" s="7" t="n"/>
      <c r="K8" s="6" t="inlineStr"/>
      <c r="L8" s="11">
        <f>IF($D8="Backlog",COUNTIF($D$2:$D8,"Backlog"),"")</f>
        <v/>
      </c>
      <c r="M8" s="11">
        <f>IF(ISNUMBER($I8),$I8+ROW()/100000,"")</f>
        <v/>
      </c>
    </row>
    <row r="9">
      <c r="A9" s="6" t="inlineStr">
        <is>
          <t>Red Dead Redemption 2</t>
        </is>
      </c>
      <c r="B9" s="7" t="inlineStr">
        <is>
          <t>PC</t>
        </is>
      </c>
      <c r="C9" s="7" t="inlineStr">
        <is>
          <t>Action</t>
        </is>
      </c>
      <c r="D9" s="7" t="inlineStr">
        <is>
          <t>Backlog</t>
        </is>
      </c>
      <c r="E9" s="7" t="inlineStr">
        <is>
          <t>Digital</t>
        </is>
      </c>
      <c r="F9" s="7" t="n"/>
      <c r="G9" s="7" t="n"/>
      <c r="H9" s="8" t="n">
        <v>39.99</v>
      </c>
      <c r="I9" s="9">
        <f>IF(AND(ISNUMBER($G9),ISNUMBER($H9),$G9&gt;0),ROUND($H9/$G9,2),"")</f>
        <v/>
      </c>
      <c r="J9" s="7" t="n"/>
      <c r="K9" s="6" t="inlineStr"/>
      <c r="L9" s="11">
        <f>IF($D9="Backlog",COUNTIF($D$2:$D9,"Backlog"),"")</f>
        <v/>
      </c>
      <c r="M9" s="11">
        <f>IF(ISNUMBER($I9),$I9+ROW()/100000,"")</f>
        <v/>
      </c>
    </row>
    <row r="10">
      <c r="A10" s="6" t="inlineStr">
        <is>
          <t>Celeste</t>
        </is>
      </c>
      <c r="B10" s="7" t="inlineStr">
        <is>
          <t>PC</t>
        </is>
      </c>
      <c r="C10" s="7" t="inlineStr">
        <is>
          <t>Platformer</t>
        </is>
      </c>
      <c r="D10" s="7" t="inlineStr">
        <is>
          <t>Beaten</t>
        </is>
      </c>
      <c r="E10" s="7" t="inlineStr">
        <is>
          <t>Digital</t>
        </is>
      </c>
      <c r="F10" s="7" t="n">
        <v>9</v>
      </c>
      <c r="G10" s="7" t="n">
        <v>12</v>
      </c>
      <c r="H10" s="8" t="n">
        <v>19.99</v>
      </c>
      <c r="I10" s="9">
        <f>IF(AND(ISNUMBER($G10),ISNUMBER($H10),$G10&gt;0),ROUND($H10/$G10,2),"")</f>
        <v/>
      </c>
      <c r="J10" s="10" t="n">
        <v>45981</v>
      </c>
      <c r="K10" s="6" t="inlineStr">
        <is>
          <t>Hard but fair</t>
        </is>
      </c>
      <c r="L10" s="11">
        <f>IF($D10="Backlog",COUNTIF($D$2:$D10,"Backlog"),"")</f>
        <v/>
      </c>
      <c r="M10" s="11">
        <f>IF(ISNUMBER($I10),$I10+ROW()/100000,"")</f>
        <v/>
      </c>
    </row>
    <row r="11">
      <c r="A11" s="6" t="inlineStr">
        <is>
          <t>Hollow Knight</t>
        </is>
      </c>
      <c r="B11" s="7" t="inlineStr">
        <is>
          <t>PC</t>
        </is>
      </c>
      <c r="C11" s="7" t="inlineStr">
        <is>
          <t>Metroidvania</t>
        </is>
      </c>
      <c r="D11" s="7" t="inlineStr">
        <is>
          <t>Backlog</t>
        </is>
      </c>
      <c r="E11" s="7" t="inlineStr">
        <is>
          <t>Digital</t>
        </is>
      </c>
      <c r="F11" s="7" t="n"/>
      <c r="G11" s="7" t="n"/>
      <c r="H11" s="8" t="n">
        <v>14.99</v>
      </c>
      <c r="I11" s="9">
        <f>IF(AND(ISNUMBER($G11),ISNUMBER($H11),$G11&gt;0),ROUND($H11/$G11,2),"")</f>
        <v/>
      </c>
      <c r="J11" s="7" t="n"/>
      <c r="K11" s="6" t="inlineStr"/>
      <c r="L11" s="11">
        <f>IF($D11="Backlog",COUNTIF($D$2:$D11,"Backlog"),"")</f>
        <v/>
      </c>
      <c r="M11" s="11">
        <f>IF(ISNUMBER($I11),$I11+ROW()/100000,"")</f>
        <v/>
      </c>
    </row>
    <row r="12">
      <c r="A12" s="6" t="inlineStr">
        <is>
          <t>Starfield</t>
        </is>
      </c>
      <c r="B12" s="7" t="inlineStr">
        <is>
          <t>PC</t>
        </is>
      </c>
      <c r="C12" s="7" t="inlineStr">
        <is>
          <t>RPG</t>
        </is>
      </c>
      <c r="D12" s="7" t="inlineStr">
        <is>
          <t>Dropped</t>
        </is>
      </c>
      <c r="E12" s="7" t="inlineStr">
        <is>
          <t>Digital</t>
        </is>
      </c>
      <c r="F12" s="7" t="n">
        <v>6</v>
      </c>
      <c r="G12" s="7" t="n">
        <v>25</v>
      </c>
      <c r="H12" s="8" t="n">
        <v>69.98999999999999</v>
      </c>
      <c r="I12" s="9">
        <f>IF(AND(ISNUMBER($G12),ISNUMBER($H12),$G12&gt;0),ROUND($H12/$G12,2),"")</f>
        <v/>
      </c>
      <c r="J12" s="7" t="n"/>
      <c r="K12" s="6" t="inlineStr">
        <is>
          <t>Lost interest</t>
        </is>
      </c>
      <c r="L12" s="11">
        <f>IF($D12="Backlog",COUNTIF($D$2:$D12,"Backlog"),"")</f>
        <v/>
      </c>
      <c r="M12" s="11">
        <f>IF(ISNUMBER($I12),$I12+ROW()/100000,"")</f>
        <v/>
      </c>
    </row>
    <row r="13">
      <c r="A13" s="6" t="inlineStr">
        <is>
          <t>Hollow Knight: Silksong</t>
        </is>
      </c>
      <c r="B13" s="7" t="inlineStr">
        <is>
          <t>PC</t>
        </is>
      </c>
      <c r="C13" s="7" t="inlineStr">
        <is>
          <t>Metroidvania</t>
        </is>
      </c>
      <c r="D13" s="7" t="inlineStr">
        <is>
          <t>Wishlist</t>
        </is>
      </c>
      <c r="E13" s="7" t="n"/>
      <c r="F13" s="7" t="n"/>
      <c r="G13" s="7" t="n"/>
      <c r="H13" s="8" t="n"/>
      <c r="I13" s="9">
        <f>IF(AND(ISNUMBER($G13),ISNUMBER($H13),$G13&gt;0),ROUND($H13/$G13,2),"")</f>
        <v/>
      </c>
      <c r="J13" s="7" t="n"/>
      <c r="K13" s="6" t="inlineStr">
        <is>
          <t>Someday...</t>
        </is>
      </c>
      <c r="L13" s="11">
        <f>IF($D13="Backlog",COUNTIF($D$2:$D13,"Backlog"),"")</f>
        <v/>
      </c>
      <c r="M13" s="11">
        <f>IF(ISNUMBER($I13),$I13+ROW()/100000,"")</f>
        <v/>
      </c>
    </row>
    <row r="14">
      <c r="A14" s="6" t="inlineStr">
        <is>
          <t>Persona 5 Royal</t>
        </is>
      </c>
      <c r="B14" s="7" t="inlineStr">
        <is>
          <t>PlayStation 5</t>
        </is>
      </c>
      <c r="C14" s="7" t="inlineStr">
        <is>
          <t>JRPG</t>
        </is>
      </c>
      <c r="D14" s="7" t="inlineStr">
        <is>
          <t>Backlog</t>
        </is>
      </c>
      <c r="E14" s="7" t="inlineStr">
        <is>
          <t>Physical</t>
        </is>
      </c>
      <c r="F14" s="7" t="n"/>
      <c r="G14" s="7" t="n"/>
      <c r="H14" s="8" t="n">
        <v>59.99</v>
      </c>
      <c r="I14" s="9">
        <f>IF(AND(ISNUMBER($G14),ISNUMBER($H14),$G14&gt;0),ROUND($H14/$G14,2),"")</f>
        <v/>
      </c>
      <c r="J14" s="7" t="n"/>
      <c r="K14" s="6" t="inlineStr"/>
      <c r="L14" s="11">
        <f>IF($D14="Backlog",COUNTIF($D$2:$D14,"Backlog"),"")</f>
        <v/>
      </c>
      <c r="M14" s="11">
        <f>IF(ISNUMBER($I14),$I14+ROW()/100000,"")</f>
        <v/>
      </c>
    </row>
    <row r="15">
      <c r="A15" s="6" t="n"/>
      <c r="B15" s="7" t="n"/>
      <c r="C15" s="7" t="n"/>
      <c r="D15" s="7" t="n"/>
      <c r="E15" s="7" t="n"/>
      <c r="F15" s="7" t="n"/>
      <c r="G15" s="7" t="n"/>
      <c r="H15" s="8" t="n"/>
      <c r="I15" s="9">
        <f>IF(AND(ISNUMBER($G15),ISNUMBER($H15),$G15&gt;0),ROUND($H15/$G15,2),"")</f>
        <v/>
      </c>
      <c r="J15" s="10" t="n"/>
      <c r="K15" s="6" t="n"/>
      <c r="L15" s="11">
        <f>IF($D15="Backlog",COUNTIF($D$2:$D15,"Backlog"),"")</f>
        <v/>
      </c>
      <c r="M15" s="11">
        <f>IF(ISNUMBER($I15),$I15+ROW()/100000,"")</f>
        <v/>
      </c>
    </row>
    <row r="16">
      <c r="A16" s="6" t="n"/>
      <c r="B16" s="7" t="n"/>
      <c r="C16" s="7" t="n"/>
      <c r="D16" s="7" t="n"/>
      <c r="E16" s="7" t="n"/>
      <c r="F16" s="7" t="n"/>
      <c r="G16" s="7" t="n"/>
      <c r="H16" s="8" t="n"/>
      <c r="I16" s="9">
        <f>IF(AND(ISNUMBER($G16),ISNUMBER($H16),$G16&gt;0),ROUND($H16/$G16,2),"")</f>
        <v/>
      </c>
      <c r="J16" s="10" t="n"/>
      <c r="K16" s="6" t="n"/>
      <c r="L16" s="11">
        <f>IF($D16="Backlog",COUNTIF($D$2:$D16,"Backlog"),"")</f>
        <v/>
      </c>
      <c r="M16" s="11">
        <f>IF(ISNUMBER($I16),$I16+ROW()/100000,"")</f>
        <v/>
      </c>
    </row>
    <row r="17">
      <c r="A17" s="6" t="n"/>
      <c r="B17" s="7" t="n"/>
      <c r="C17" s="7" t="n"/>
      <c r="D17" s="7" t="n"/>
      <c r="E17" s="7" t="n"/>
      <c r="F17" s="7" t="n"/>
      <c r="G17" s="7" t="n"/>
      <c r="H17" s="8" t="n"/>
      <c r="I17" s="9">
        <f>IF(AND(ISNUMBER($G17),ISNUMBER($H17),$G17&gt;0),ROUND($H17/$G17,2),"")</f>
        <v/>
      </c>
      <c r="J17" s="10" t="n"/>
      <c r="K17" s="6" t="n"/>
      <c r="L17" s="11">
        <f>IF($D17="Backlog",COUNTIF($D$2:$D17,"Backlog"),"")</f>
        <v/>
      </c>
      <c r="M17" s="11">
        <f>IF(ISNUMBER($I17),$I17+ROW()/100000,"")</f>
        <v/>
      </c>
    </row>
    <row r="18">
      <c r="A18" s="6" t="n"/>
      <c r="B18" s="7" t="n"/>
      <c r="C18" s="7" t="n"/>
      <c r="D18" s="7" t="n"/>
      <c r="E18" s="7" t="n"/>
      <c r="F18" s="7" t="n"/>
      <c r="G18" s="7" t="n"/>
      <c r="H18" s="8" t="n"/>
      <c r="I18" s="9">
        <f>IF(AND(ISNUMBER($G18),ISNUMBER($H18),$G18&gt;0),ROUND($H18/$G18,2),"")</f>
        <v/>
      </c>
      <c r="J18" s="10" t="n"/>
      <c r="K18" s="6" t="n"/>
      <c r="L18" s="11">
        <f>IF($D18="Backlog",COUNTIF($D$2:$D18,"Backlog"),"")</f>
        <v/>
      </c>
      <c r="M18" s="11">
        <f>IF(ISNUMBER($I18),$I18+ROW()/100000,"")</f>
        <v/>
      </c>
    </row>
    <row r="19">
      <c r="A19" s="6" t="n"/>
      <c r="B19" s="7" t="n"/>
      <c r="C19" s="7" t="n"/>
      <c r="D19" s="7" t="n"/>
      <c r="E19" s="7" t="n"/>
      <c r="F19" s="7" t="n"/>
      <c r="G19" s="7" t="n"/>
      <c r="H19" s="8" t="n"/>
      <c r="I19" s="9">
        <f>IF(AND(ISNUMBER($G19),ISNUMBER($H19),$G19&gt;0),ROUND($H19/$G19,2),"")</f>
        <v/>
      </c>
      <c r="J19" s="10" t="n"/>
      <c r="K19" s="6" t="n"/>
      <c r="L19" s="11">
        <f>IF($D19="Backlog",COUNTIF($D$2:$D19,"Backlog"),"")</f>
        <v/>
      </c>
      <c r="M19" s="11">
        <f>IF(ISNUMBER($I19),$I19+ROW()/100000,"")</f>
        <v/>
      </c>
    </row>
    <row r="20">
      <c r="A20" s="6" t="n"/>
      <c r="B20" s="7" t="n"/>
      <c r="C20" s="7" t="n"/>
      <c r="D20" s="7" t="n"/>
      <c r="E20" s="7" t="n"/>
      <c r="F20" s="7" t="n"/>
      <c r="G20" s="7" t="n"/>
      <c r="H20" s="8" t="n"/>
      <c r="I20" s="9">
        <f>IF(AND(ISNUMBER($G20),ISNUMBER($H20),$G20&gt;0),ROUND($H20/$G20,2),"")</f>
        <v/>
      </c>
      <c r="J20" s="10" t="n"/>
      <c r="K20" s="6" t="n"/>
      <c r="L20" s="11">
        <f>IF($D20="Backlog",COUNTIF($D$2:$D20,"Backlog"),"")</f>
        <v/>
      </c>
      <c r="M20" s="11">
        <f>IF(ISNUMBER($I20),$I20+ROW()/100000,"")</f>
        <v/>
      </c>
    </row>
    <row r="21">
      <c r="A21" s="6" t="n"/>
      <c r="B21" s="7" t="n"/>
      <c r="C21" s="7" t="n"/>
      <c r="D21" s="7" t="n"/>
      <c r="E21" s="7" t="n"/>
      <c r="F21" s="7" t="n"/>
      <c r="G21" s="7" t="n"/>
      <c r="H21" s="8" t="n"/>
      <c r="I21" s="9">
        <f>IF(AND(ISNUMBER($G21),ISNUMBER($H21),$G21&gt;0),ROUND($H21/$G21,2),"")</f>
        <v/>
      </c>
      <c r="J21" s="10" t="n"/>
      <c r="K21" s="6" t="n"/>
      <c r="L21" s="11">
        <f>IF($D21="Backlog",COUNTIF($D$2:$D21,"Backlog"),"")</f>
        <v/>
      </c>
      <c r="M21" s="11">
        <f>IF(ISNUMBER($I21),$I21+ROW()/100000,"")</f>
        <v/>
      </c>
    </row>
    <row r="22">
      <c r="A22" s="6" t="n"/>
      <c r="B22" s="7" t="n"/>
      <c r="C22" s="7" t="n"/>
      <c r="D22" s="7" t="n"/>
      <c r="E22" s="7" t="n"/>
      <c r="F22" s="7" t="n"/>
      <c r="G22" s="7" t="n"/>
      <c r="H22" s="8" t="n"/>
      <c r="I22" s="9">
        <f>IF(AND(ISNUMBER($G22),ISNUMBER($H22),$G22&gt;0),ROUND($H22/$G22,2),"")</f>
        <v/>
      </c>
      <c r="J22" s="10" t="n"/>
      <c r="K22" s="6" t="n"/>
      <c r="L22" s="11">
        <f>IF($D22="Backlog",COUNTIF($D$2:$D22,"Backlog"),"")</f>
        <v/>
      </c>
      <c r="M22" s="11">
        <f>IF(ISNUMBER($I22),$I22+ROW()/100000,"")</f>
        <v/>
      </c>
    </row>
    <row r="23">
      <c r="A23" s="6" t="n"/>
      <c r="B23" s="7" t="n"/>
      <c r="C23" s="7" t="n"/>
      <c r="D23" s="7" t="n"/>
      <c r="E23" s="7" t="n"/>
      <c r="F23" s="7" t="n"/>
      <c r="G23" s="7" t="n"/>
      <c r="H23" s="8" t="n"/>
      <c r="I23" s="9">
        <f>IF(AND(ISNUMBER($G23),ISNUMBER($H23),$G23&gt;0),ROUND($H23/$G23,2),"")</f>
        <v/>
      </c>
      <c r="J23" s="10" t="n"/>
      <c r="K23" s="6" t="n"/>
      <c r="L23" s="11">
        <f>IF($D23="Backlog",COUNTIF($D$2:$D23,"Backlog"),"")</f>
        <v/>
      </c>
      <c r="M23" s="11">
        <f>IF(ISNUMBER($I23),$I23+ROW()/100000,"")</f>
        <v/>
      </c>
    </row>
    <row r="24">
      <c r="A24" s="6" t="n"/>
      <c r="B24" s="7" t="n"/>
      <c r="C24" s="7" t="n"/>
      <c r="D24" s="7" t="n"/>
      <c r="E24" s="7" t="n"/>
      <c r="F24" s="7" t="n"/>
      <c r="G24" s="7" t="n"/>
      <c r="H24" s="8" t="n"/>
      <c r="I24" s="9">
        <f>IF(AND(ISNUMBER($G24),ISNUMBER($H24),$G24&gt;0),ROUND($H24/$G24,2),"")</f>
        <v/>
      </c>
      <c r="J24" s="10" t="n"/>
      <c r="K24" s="6" t="n"/>
      <c r="L24" s="11">
        <f>IF($D24="Backlog",COUNTIF($D$2:$D24,"Backlog"),"")</f>
        <v/>
      </c>
      <c r="M24" s="11">
        <f>IF(ISNUMBER($I24),$I24+ROW()/100000,"")</f>
        <v/>
      </c>
    </row>
    <row r="25">
      <c r="A25" s="6" t="n"/>
      <c r="B25" s="7" t="n"/>
      <c r="C25" s="7" t="n"/>
      <c r="D25" s="7" t="n"/>
      <c r="E25" s="7" t="n"/>
      <c r="F25" s="7" t="n"/>
      <c r="G25" s="7" t="n"/>
      <c r="H25" s="8" t="n"/>
      <c r="I25" s="9">
        <f>IF(AND(ISNUMBER($G25),ISNUMBER($H25),$G25&gt;0),ROUND($H25/$G25,2),"")</f>
        <v/>
      </c>
      <c r="J25" s="10" t="n"/>
      <c r="K25" s="6" t="n"/>
      <c r="L25" s="11">
        <f>IF($D25="Backlog",COUNTIF($D$2:$D25,"Backlog"),"")</f>
        <v/>
      </c>
      <c r="M25" s="11">
        <f>IF(ISNUMBER($I25),$I25+ROW()/100000,"")</f>
        <v/>
      </c>
    </row>
    <row r="26">
      <c r="A26" s="6" t="n"/>
      <c r="B26" s="7" t="n"/>
      <c r="C26" s="7" t="n"/>
      <c r="D26" s="7" t="n"/>
      <c r="E26" s="7" t="n"/>
      <c r="F26" s="7" t="n"/>
      <c r="G26" s="7" t="n"/>
      <c r="H26" s="8" t="n"/>
      <c r="I26" s="9">
        <f>IF(AND(ISNUMBER($G26),ISNUMBER($H26),$G26&gt;0),ROUND($H26/$G26,2),"")</f>
        <v/>
      </c>
      <c r="J26" s="10" t="n"/>
      <c r="K26" s="6" t="n"/>
      <c r="L26" s="11">
        <f>IF($D26="Backlog",COUNTIF($D$2:$D26,"Backlog"),"")</f>
        <v/>
      </c>
      <c r="M26" s="11">
        <f>IF(ISNUMBER($I26),$I26+ROW()/100000,"")</f>
        <v/>
      </c>
    </row>
    <row r="27">
      <c r="A27" s="6" t="n"/>
      <c r="B27" s="7" t="n"/>
      <c r="C27" s="7" t="n"/>
      <c r="D27" s="7" t="n"/>
      <c r="E27" s="7" t="n"/>
      <c r="F27" s="7" t="n"/>
      <c r="G27" s="7" t="n"/>
      <c r="H27" s="8" t="n"/>
      <c r="I27" s="9">
        <f>IF(AND(ISNUMBER($G27),ISNUMBER($H27),$G27&gt;0),ROUND($H27/$G27,2),"")</f>
        <v/>
      </c>
      <c r="J27" s="10" t="n"/>
      <c r="K27" s="6" t="n"/>
      <c r="L27" s="11">
        <f>IF($D27="Backlog",COUNTIF($D$2:$D27,"Backlog"),"")</f>
        <v/>
      </c>
      <c r="M27" s="11">
        <f>IF(ISNUMBER($I27),$I27+ROW()/100000,"")</f>
        <v/>
      </c>
    </row>
    <row r="28">
      <c r="A28" s="6" t="n"/>
      <c r="B28" s="7" t="n"/>
      <c r="C28" s="7" t="n"/>
      <c r="D28" s="7" t="n"/>
      <c r="E28" s="7" t="n"/>
      <c r="F28" s="7" t="n"/>
      <c r="G28" s="7" t="n"/>
      <c r="H28" s="8" t="n"/>
      <c r="I28" s="9">
        <f>IF(AND(ISNUMBER($G28),ISNUMBER($H28),$G28&gt;0),ROUND($H28/$G28,2),"")</f>
        <v/>
      </c>
      <c r="J28" s="10" t="n"/>
      <c r="K28" s="6" t="n"/>
      <c r="L28" s="11">
        <f>IF($D28="Backlog",COUNTIF($D$2:$D28,"Backlog"),"")</f>
        <v/>
      </c>
      <c r="M28" s="11">
        <f>IF(ISNUMBER($I28),$I28+ROW()/100000,"")</f>
        <v/>
      </c>
    </row>
    <row r="29">
      <c r="A29" s="6" t="n"/>
      <c r="B29" s="7" t="n"/>
      <c r="C29" s="7" t="n"/>
      <c r="D29" s="7" t="n"/>
      <c r="E29" s="7" t="n"/>
      <c r="F29" s="7" t="n"/>
      <c r="G29" s="7" t="n"/>
      <c r="H29" s="8" t="n"/>
      <c r="I29" s="9">
        <f>IF(AND(ISNUMBER($G29),ISNUMBER($H29),$G29&gt;0),ROUND($H29/$G29,2),"")</f>
        <v/>
      </c>
      <c r="J29" s="10" t="n"/>
      <c r="K29" s="6" t="n"/>
      <c r="L29" s="11">
        <f>IF($D29="Backlog",COUNTIF($D$2:$D29,"Backlog"),"")</f>
        <v/>
      </c>
      <c r="M29" s="11">
        <f>IF(ISNUMBER($I29),$I29+ROW()/100000,"")</f>
        <v/>
      </c>
    </row>
    <row r="30">
      <c r="A30" s="6" t="n"/>
      <c r="B30" s="7" t="n"/>
      <c r="C30" s="7" t="n"/>
      <c r="D30" s="7" t="n"/>
      <c r="E30" s="7" t="n"/>
      <c r="F30" s="7" t="n"/>
      <c r="G30" s="7" t="n"/>
      <c r="H30" s="8" t="n"/>
      <c r="I30" s="9">
        <f>IF(AND(ISNUMBER($G30),ISNUMBER($H30),$G30&gt;0),ROUND($H30/$G30,2),"")</f>
        <v/>
      </c>
      <c r="J30" s="10" t="n"/>
      <c r="K30" s="6" t="n"/>
      <c r="L30" s="11">
        <f>IF($D30="Backlog",COUNTIF($D$2:$D30,"Backlog"),"")</f>
        <v/>
      </c>
      <c r="M30" s="11">
        <f>IF(ISNUMBER($I30),$I30+ROW()/100000,"")</f>
        <v/>
      </c>
    </row>
    <row r="31">
      <c r="A31" s="6" t="n"/>
      <c r="B31" s="7" t="n"/>
      <c r="C31" s="7" t="n"/>
      <c r="D31" s="7" t="n"/>
      <c r="E31" s="7" t="n"/>
      <c r="F31" s="7" t="n"/>
      <c r="G31" s="7" t="n"/>
      <c r="H31" s="8" t="n"/>
      <c r="I31" s="9">
        <f>IF(AND(ISNUMBER($G31),ISNUMBER($H31),$G31&gt;0),ROUND($H31/$G31,2),"")</f>
        <v/>
      </c>
      <c r="J31" s="10" t="n"/>
      <c r="K31" s="6" t="n"/>
      <c r="L31" s="11">
        <f>IF($D31="Backlog",COUNTIF($D$2:$D31,"Backlog"),"")</f>
        <v/>
      </c>
      <c r="M31" s="11">
        <f>IF(ISNUMBER($I31),$I31+ROW()/100000,"")</f>
        <v/>
      </c>
    </row>
    <row r="32">
      <c r="A32" s="6" t="n"/>
      <c r="B32" s="7" t="n"/>
      <c r="C32" s="7" t="n"/>
      <c r="D32" s="7" t="n"/>
      <c r="E32" s="7" t="n"/>
      <c r="F32" s="7" t="n"/>
      <c r="G32" s="7" t="n"/>
      <c r="H32" s="8" t="n"/>
      <c r="I32" s="9">
        <f>IF(AND(ISNUMBER($G32),ISNUMBER($H32),$G32&gt;0),ROUND($H32/$G32,2),"")</f>
        <v/>
      </c>
      <c r="J32" s="10" t="n"/>
      <c r="K32" s="6" t="n"/>
      <c r="L32" s="11">
        <f>IF($D32="Backlog",COUNTIF($D$2:$D32,"Backlog"),"")</f>
        <v/>
      </c>
      <c r="M32" s="11">
        <f>IF(ISNUMBER($I32),$I32+ROW()/100000,"")</f>
        <v/>
      </c>
    </row>
    <row r="33">
      <c r="A33" s="6" t="n"/>
      <c r="B33" s="7" t="n"/>
      <c r="C33" s="7" t="n"/>
      <c r="D33" s="7" t="n"/>
      <c r="E33" s="7" t="n"/>
      <c r="F33" s="7" t="n"/>
      <c r="G33" s="7" t="n"/>
      <c r="H33" s="8" t="n"/>
      <c r="I33" s="9">
        <f>IF(AND(ISNUMBER($G33),ISNUMBER($H33),$G33&gt;0),ROUND($H33/$G33,2),"")</f>
        <v/>
      </c>
      <c r="J33" s="10" t="n"/>
      <c r="K33" s="6" t="n"/>
      <c r="L33" s="11">
        <f>IF($D33="Backlog",COUNTIF($D$2:$D33,"Backlog"),"")</f>
        <v/>
      </c>
      <c r="M33" s="11">
        <f>IF(ISNUMBER($I33),$I33+ROW()/100000,"")</f>
        <v/>
      </c>
    </row>
    <row r="34">
      <c r="A34" s="6" t="n"/>
      <c r="B34" s="7" t="n"/>
      <c r="C34" s="7" t="n"/>
      <c r="D34" s="7" t="n"/>
      <c r="E34" s="7" t="n"/>
      <c r="F34" s="7" t="n"/>
      <c r="G34" s="7" t="n"/>
      <c r="H34" s="8" t="n"/>
      <c r="I34" s="9">
        <f>IF(AND(ISNUMBER($G34),ISNUMBER($H34),$G34&gt;0),ROUND($H34/$G34,2),"")</f>
        <v/>
      </c>
      <c r="J34" s="10" t="n"/>
      <c r="K34" s="6" t="n"/>
      <c r="L34" s="11">
        <f>IF($D34="Backlog",COUNTIF($D$2:$D34,"Backlog"),"")</f>
        <v/>
      </c>
      <c r="M34" s="11">
        <f>IF(ISNUMBER($I34),$I34+ROW()/100000,"")</f>
        <v/>
      </c>
    </row>
    <row r="35">
      <c r="A35" s="6" t="n"/>
      <c r="B35" s="7" t="n"/>
      <c r="C35" s="7" t="n"/>
      <c r="D35" s="7" t="n"/>
      <c r="E35" s="7" t="n"/>
      <c r="F35" s="7" t="n"/>
      <c r="G35" s="7" t="n"/>
      <c r="H35" s="8" t="n"/>
      <c r="I35" s="9">
        <f>IF(AND(ISNUMBER($G35),ISNUMBER($H35),$G35&gt;0),ROUND($H35/$G35,2),"")</f>
        <v/>
      </c>
      <c r="J35" s="10" t="n"/>
      <c r="K35" s="6" t="n"/>
      <c r="L35" s="11">
        <f>IF($D35="Backlog",COUNTIF($D$2:$D35,"Backlog"),"")</f>
        <v/>
      </c>
      <c r="M35" s="11">
        <f>IF(ISNUMBER($I35),$I35+ROW()/100000,"")</f>
        <v/>
      </c>
    </row>
    <row r="36">
      <c r="A36" s="6" t="n"/>
      <c r="B36" s="7" t="n"/>
      <c r="C36" s="7" t="n"/>
      <c r="D36" s="7" t="n"/>
      <c r="E36" s="7" t="n"/>
      <c r="F36" s="7" t="n"/>
      <c r="G36" s="7" t="n"/>
      <c r="H36" s="8" t="n"/>
      <c r="I36" s="9">
        <f>IF(AND(ISNUMBER($G36),ISNUMBER($H36),$G36&gt;0),ROUND($H36/$G36,2),"")</f>
        <v/>
      </c>
      <c r="J36" s="10" t="n"/>
      <c r="K36" s="6" t="n"/>
      <c r="L36" s="11">
        <f>IF($D36="Backlog",COUNTIF($D$2:$D36,"Backlog"),"")</f>
        <v/>
      </c>
      <c r="M36" s="11">
        <f>IF(ISNUMBER($I36),$I36+ROW()/100000,"")</f>
        <v/>
      </c>
    </row>
    <row r="37">
      <c r="A37" s="6" t="n"/>
      <c r="B37" s="7" t="n"/>
      <c r="C37" s="7" t="n"/>
      <c r="D37" s="7" t="n"/>
      <c r="E37" s="7" t="n"/>
      <c r="F37" s="7" t="n"/>
      <c r="G37" s="7" t="n"/>
      <c r="H37" s="8" t="n"/>
      <c r="I37" s="9">
        <f>IF(AND(ISNUMBER($G37),ISNUMBER($H37),$G37&gt;0),ROUND($H37/$G37,2),"")</f>
        <v/>
      </c>
      <c r="J37" s="10" t="n"/>
      <c r="K37" s="6" t="n"/>
      <c r="L37" s="11">
        <f>IF($D37="Backlog",COUNTIF($D$2:$D37,"Backlog"),"")</f>
        <v/>
      </c>
      <c r="M37" s="11">
        <f>IF(ISNUMBER($I37),$I37+ROW()/100000,"")</f>
        <v/>
      </c>
    </row>
    <row r="38">
      <c r="A38" s="6" t="n"/>
      <c r="B38" s="7" t="n"/>
      <c r="C38" s="7" t="n"/>
      <c r="D38" s="7" t="n"/>
      <c r="E38" s="7" t="n"/>
      <c r="F38" s="7" t="n"/>
      <c r="G38" s="7" t="n"/>
      <c r="H38" s="8" t="n"/>
      <c r="I38" s="9">
        <f>IF(AND(ISNUMBER($G38),ISNUMBER($H38),$G38&gt;0),ROUND($H38/$G38,2),"")</f>
        <v/>
      </c>
      <c r="J38" s="10" t="n"/>
      <c r="K38" s="6" t="n"/>
      <c r="L38" s="11">
        <f>IF($D38="Backlog",COUNTIF($D$2:$D38,"Backlog"),"")</f>
        <v/>
      </c>
      <c r="M38" s="11">
        <f>IF(ISNUMBER($I38),$I38+ROW()/100000,"")</f>
        <v/>
      </c>
    </row>
    <row r="39">
      <c r="A39" s="6" t="n"/>
      <c r="B39" s="7" t="n"/>
      <c r="C39" s="7" t="n"/>
      <c r="D39" s="7" t="n"/>
      <c r="E39" s="7" t="n"/>
      <c r="F39" s="7" t="n"/>
      <c r="G39" s="7" t="n"/>
      <c r="H39" s="8" t="n"/>
      <c r="I39" s="9">
        <f>IF(AND(ISNUMBER($G39),ISNUMBER($H39),$G39&gt;0),ROUND($H39/$G39,2),"")</f>
        <v/>
      </c>
      <c r="J39" s="10" t="n"/>
      <c r="K39" s="6" t="n"/>
      <c r="L39" s="11">
        <f>IF($D39="Backlog",COUNTIF($D$2:$D39,"Backlog"),"")</f>
        <v/>
      </c>
      <c r="M39" s="11">
        <f>IF(ISNUMBER($I39),$I39+ROW()/100000,"")</f>
        <v/>
      </c>
    </row>
    <row r="40">
      <c r="A40" s="6" t="n"/>
      <c r="B40" s="7" t="n"/>
      <c r="C40" s="7" t="n"/>
      <c r="D40" s="7" t="n"/>
      <c r="E40" s="7" t="n"/>
      <c r="F40" s="7" t="n"/>
      <c r="G40" s="7" t="n"/>
      <c r="H40" s="8" t="n"/>
      <c r="I40" s="9">
        <f>IF(AND(ISNUMBER($G40),ISNUMBER($H40),$G40&gt;0),ROUND($H40/$G40,2),"")</f>
        <v/>
      </c>
      <c r="J40" s="10" t="n"/>
      <c r="K40" s="6" t="n"/>
      <c r="L40" s="11">
        <f>IF($D40="Backlog",COUNTIF($D$2:$D40,"Backlog"),"")</f>
        <v/>
      </c>
      <c r="M40" s="11">
        <f>IF(ISNUMBER($I40),$I40+ROW()/100000,"")</f>
        <v/>
      </c>
    </row>
    <row r="41">
      <c r="A41" s="6" t="n"/>
      <c r="B41" s="7" t="n"/>
      <c r="C41" s="7" t="n"/>
      <c r="D41" s="7" t="n"/>
      <c r="E41" s="7" t="n"/>
      <c r="F41" s="7" t="n"/>
      <c r="G41" s="7" t="n"/>
      <c r="H41" s="8" t="n"/>
      <c r="I41" s="9">
        <f>IF(AND(ISNUMBER($G41),ISNUMBER($H41),$G41&gt;0),ROUND($H41/$G41,2),"")</f>
        <v/>
      </c>
      <c r="J41" s="10" t="n"/>
      <c r="K41" s="6" t="n"/>
      <c r="L41" s="11">
        <f>IF($D41="Backlog",COUNTIF($D$2:$D41,"Backlog"),"")</f>
        <v/>
      </c>
      <c r="M41" s="11">
        <f>IF(ISNUMBER($I41),$I41+ROW()/100000,"")</f>
        <v/>
      </c>
    </row>
    <row r="42">
      <c r="A42" s="6" t="n"/>
      <c r="B42" s="7" t="n"/>
      <c r="C42" s="7" t="n"/>
      <c r="D42" s="7" t="n"/>
      <c r="E42" s="7" t="n"/>
      <c r="F42" s="7" t="n"/>
      <c r="G42" s="7" t="n"/>
      <c r="H42" s="8" t="n"/>
      <c r="I42" s="9">
        <f>IF(AND(ISNUMBER($G42),ISNUMBER($H42),$G42&gt;0),ROUND($H42/$G42,2),"")</f>
        <v/>
      </c>
      <c r="J42" s="10" t="n"/>
      <c r="K42" s="6" t="n"/>
      <c r="L42" s="11">
        <f>IF($D42="Backlog",COUNTIF($D$2:$D42,"Backlog"),"")</f>
        <v/>
      </c>
      <c r="M42" s="11">
        <f>IF(ISNUMBER($I42),$I42+ROW()/100000,"")</f>
        <v/>
      </c>
    </row>
    <row r="43">
      <c r="A43" s="6" t="n"/>
      <c r="B43" s="7" t="n"/>
      <c r="C43" s="7" t="n"/>
      <c r="D43" s="7" t="n"/>
      <c r="E43" s="7" t="n"/>
      <c r="F43" s="7" t="n"/>
      <c r="G43" s="7" t="n"/>
      <c r="H43" s="8" t="n"/>
      <c r="I43" s="9">
        <f>IF(AND(ISNUMBER($G43),ISNUMBER($H43),$G43&gt;0),ROUND($H43/$G43,2),"")</f>
        <v/>
      </c>
      <c r="J43" s="10" t="n"/>
      <c r="K43" s="6" t="n"/>
      <c r="L43" s="11">
        <f>IF($D43="Backlog",COUNTIF($D$2:$D43,"Backlog"),"")</f>
        <v/>
      </c>
      <c r="M43" s="11">
        <f>IF(ISNUMBER($I43),$I43+ROW()/100000,"")</f>
        <v/>
      </c>
    </row>
    <row r="44">
      <c r="A44" s="6" t="n"/>
      <c r="B44" s="7" t="n"/>
      <c r="C44" s="7" t="n"/>
      <c r="D44" s="7" t="n"/>
      <c r="E44" s="7" t="n"/>
      <c r="F44" s="7" t="n"/>
      <c r="G44" s="7" t="n"/>
      <c r="H44" s="8" t="n"/>
      <c r="I44" s="9">
        <f>IF(AND(ISNUMBER($G44),ISNUMBER($H44),$G44&gt;0),ROUND($H44/$G44,2),"")</f>
        <v/>
      </c>
      <c r="J44" s="10" t="n"/>
      <c r="K44" s="6" t="n"/>
      <c r="L44" s="11">
        <f>IF($D44="Backlog",COUNTIF($D$2:$D44,"Backlog"),"")</f>
        <v/>
      </c>
      <c r="M44" s="11">
        <f>IF(ISNUMBER($I44),$I44+ROW()/100000,"")</f>
        <v/>
      </c>
    </row>
    <row r="45">
      <c r="A45" s="6" t="n"/>
      <c r="B45" s="7" t="n"/>
      <c r="C45" s="7" t="n"/>
      <c r="D45" s="7" t="n"/>
      <c r="E45" s="7" t="n"/>
      <c r="F45" s="7" t="n"/>
      <c r="G45" s="7" t="n"/>
      <c r="H45" s="8" t="n"/>
      <c r="I45" s="9">
        <f>IF(AND(ISNUMBER($G45),ISNUMBER($H45),$G45&gt;0),ROUND($H45/$G45,2),"")</f>
        <v/>
      </c>
      <c r="J45" s="10" t="n"/>
      <c r="K45" s="6" t="n"/>
      <c r="L45" s="11">
        <f>IF($D45="Backlog",COUNTIF($D$2:$D45,"Backlog"),"")</f>
        <v/>
      </c>
      <c r="M45" s="11">
        <f>IF(ISNUMBER($I45),$I45+ROW()/100000,"")</f>
        <v/>
      </c>
    </row>
    <row r="46">
      <c r="A46" s="6" t="n"/>
      <c r="B46" s="7" t="n"/>
      <c r="C46" s="7" t="n"/>
      <c r="D46" s="7" t="n"/>
      <c r="E46" s="7" t="n"/>
      <c r="F46" s="7" t="n"/>
      <c r="G46" s="7" t="n"/>
      <c r="H46" s="8" t="n"/>
      <c r="I46" s="9">
        <f>IF(AND(ISNUMBER($G46),ISNUMBER($H46),$G46&gt;0),ROUND($H46/$G46,2),"")</f>
        <v/>
      </c>
      <c r="J46" s="10" t="n"/>
      <c r="K46" s="6" t="n"/>
      <c r="L46" s="11">
        <f>IF($D46="Backlog",COUNTIF($D$2:$D46,"Backlog"),"")</f>
        <v/>
      </c>
      <c r="M46" s="11">
        <f>IF(ISNUMBER($I46),$I46+ROW()/100000,"")</f>
        <v/>
      </c>
    </row>
    <row r="47">
      <c r="A47" s="6" t="n"/>
      <c r="B47" s="7" t="n"/>
      <c r="C47" s="7" t="n"/>
      <c r="D47" s="7" t="n"/>
      <c r="E47" s="7" t="n"/>
      <c r="F47" s="7" t="n"/>
      <c r="G47" s="7" t="n"/>
      <c r="H47" s="8" t="n"/>
      <c r="I47" s="9">
        <f>IF(AND(ISNUMBER($G47),ISNUMBER($H47),$G47&gt;0),ROUND($H47/$G47,2),"")</f>
        <v/>
      </c>
      <c r="J47" s="10" t="n"/>
      <c r="K47" s="6" t="n"/>
      <c r="L47" s="11">
        <f>IF($D47="Backlog",COUNTIF($D$2:$D47,"Backlog"),"")</f>
        <v/>
      </c>
      <c r="M47" s="11">
        <f>IF(ISNUMBER($I47),$I47+ROW()/100000,"")</f>
        <v/>
      </c>
    </row>
    <row r="48">
      <c r="A48" s="6" t="n"/>
      <c r="B48" s="7" t="n"/>
      <c r="C48" s="7" t="n"/>
      <c r="D48" s="7" t="n"/>
      <c r="E48" s="7" t="n"/>
      <c r="F48" s="7" t="n"/>
      <c r="G48" s="7" t="n"/>
      <c r="H48" s="8" t="n"/>
      <c r="I48" s="9">
        <f>IF(AND(ISNUMBER($G48),ISNUMBER($H48),$G48&gt;0),ROUND($H48/$G48,2),"")</f>
        <v/>
      </c>
      <c r="J48" s="10" t="n"/>
      <c r="K48" s="6" t="n"/>
      <c r="L48" s="11">
        <f>IF($D48="Backlog",COUNTIF($D$2:$D48,"Backlog"),"")</f>
        <v/>
      </c>
      <c r="M48" s="11">
        <f>IF(ISNUMBER($I48),$I48+ROW()/100000,"")</f>
        <v/>
      </c>
    </row>
    <row r="49">
      <c r="A49" s="6" t="n"/>
      <c r="B49" s="7" t="n"/>
      <c r="C49" s="7" t="n"/>
      <c r="D49" s="7" t="n"/>
      <c r="E49" s="7" t="n"/>
      <c r="F49" s="7" t="n"/>
      <c r="G49" s="7" t="n"/>
      <c r="H49" s="8" t="n"/>
      <c r="I49" s="9">
        <f>IF(AND(ISNUMBER($G49),ISNUMBER($H49),$G49&gt;0),ROUND($H49/$G49,2),"")</f>
        <v/>
      </c>
      <c r="J49" s="10" t="n"/>
      <c r="K49" s="6" t="n"/>
      <c r="L49" s="11">
        <f>IF($D49="Backlog",COUNTIF($D$2:$D49,"Backlog"),"")</f>
        <v/>
      </c>
      <c r="M49" s="11">
        <f>IF(ISNUMBER($I49),$I49+ROW()/100000,"")</f>
        <v/>
      </c>
    </row>
    <row r="50">
      <c r="A50" s="6" t="n"/>
      <c r="B50" s="7" t="n"/>
      <c r="C50" s="7" t="n"/>
      <c r="D50" s="7" t="n"/>
      <c r="E50" s="7" t="n"/>
      <c r="F50" s="7" t="n"/>
      <c r="G50" s="7" t="n"/>
      <c r="H50" s="8" t="n"/>
      <c r="I50" s="9">
        <f>IF(AND(ISNUMBER($G50),ISNUMBER($H50),$G50&gt;0),ROUND($H50/$G50,2),"")</f>
        <v/>
      </c>
      <c r="J50" s="10" t="n"/>
      <c r="K50" s="6" t="n"/>
      <c r="L50" s="11">
        <f>IF($D50="Backlog",COUNTIF($D$2:$D50,"Backlog"),"")</f>
        <v/>
      </c>
      <c r="M50" s="11">
        <f>IF(ISNUMBER($I50),$I50+ROW()/100000,"")</f>
        <v/>
      </c>
    </row>
    <row r="51">
      <c r="A51" s="6" t="n"/>
      <c r="B51" s="7" t="n"/>
      <c r="C51" s="7" t="n"/>
      <c r="D51" s="7" t="n"/>
      <c r="E51" s="7" t="n"/>
      <c r="F51" s="7" t="n"/>
      <c r="G51" s="7" t="n"/>
      <c r="H51" s="8" t="n"/>
      <c r="I51" s="9">
        <f>IF(AND(ISNUMBER($G51),ISNUMBER($H51),$G51&gt;0),ROUND($H51/$G51,2),"")</f>
        <v/>
      </c>
      <c r="J51" s="10" t="n"/>
      <c r="K51" s="6" t="n"/>
      <c r="L51" s="11">
        <f>IF($D51="Backlog",COUNTIF($D$2:$D51,"Backlog"),"")</f>
        <v/>
      </c>
      <c r="M51" s="11">
        <f>IF(ISNUMBER($I51),$I51+ROW()/100000,"")</f>
        <v/>
      </c>
    </row>
    <row r="52">
      <c r="A52" s="6" t="n"/>
      <c r="B52" s="7" t="n"/>
      <c r="C52" s="7" t="n"/>
      <c r="D52" s="7" t="n"/>
      <c r="E52" s="7" t="n"/>
      <c r="F52" s="7" t="n"/>
      <c r="G52" s="7" t="n"/>
      <c r="H52" s="8" t="n"/>
      <c r="I52" s="9">
        <f>IF(AND(ISNUMBER($G52),ISNUMBER($H52),$G52&gt;0),ROUND($H52/$G52,2),"")</f>
        <v/>
      </c>
      <c r="J52" s="10" t="n"/>
      <c r="K52" s="6" t="n"/>
      <c r="L52" s="11">
        <f>IF($D52="Backlog",COUNTIF($D$2:$D52,"Backlog"),"")</f>
        <v/>
      </c>
      <c r="M52" s="11">
        <f>IF(ISNUMBER($I52),$I52+ROW()/100000,"")</f>
        <v/>
      </c>
    </row>
    <row r="53">
      <c r="A53" s="6" t="n"/>
      <c r="B53" s="7" t="n"/>
      <c r="C53" s="7" t="n"/>
      <c r="D53" s="7" t="n"/>
      <c r="E53" s="7" t="n"/>
      <c r="F53" s="7" t="n"/>
      <c r="G53" s="7" t="n"/>
      <c r="H53" s="8" t="n"/>
      <c r="I53" s="9">
        <f>IF(AND(ISNUMBER($G53),ISNUMBER($H53),$G53&gt;0),ROUND($H53/$G53,2),"")</f>
        <v/>
      </c>
      <c r="J53" s="10" t="n"/>
      <c r="K53" s="6" t="n"/>
      <c r="L53" s="11">
        <f>IF($D53="Backlog",COUNTIF($D$2:$D53,"Backlog"),"")</f>
        <v/>
      </c>
      <c r="M53" s="11">
        <f>IF(ISNUMBER($I53),$I53+ROW()/100000,"")</f>
        <v/>
      </c>
    </row>
    <row r="54">
      <c r="A54" s="6" t="n"/>
      <c r="B54" s="7" t="n"/>
      <c r="C54" s="7" t="n"/>
      <c r="D54" s="7" t="n"/>
      <c r="E54" s="7" t="n"/>
      <c r="F54" s="7" t="n"/>
      <c r="G54" s="7" t="n"/>
      <c r="H54" s="8" t="n"/>
      <c r="I54" s="9">
        <f>IF(AND(ISNUMBER($G54),ISNUMBER($H54),$G54&gt;0),ROUND($H54/$G54,2),"")</f>
        <v/>
      </c>
      <c r="J54" s="10" t="n"/>
      <c r="K54" s="6" t="n"/>
      <c r="L54" s="11">
        <f>IF($D54="Backlog",COUNTIF($D$2:$D54,"Backlog"),"")</f>
        <v/>
      </c>
      <c r="M54" s="11">
        <f>IF(ISNUMBER($I54),$I54+ROW()/100000,"")</f>
        <v/>
      </c>
    </row>
    <row r="55">
      <c r="A55" s="6" t="n"/>
      <c r="B55" s="7" t="n"/>
      <c r="C55" s="7" t="n"/>
      <c r="D55" s="7" t="n"/>
      <c r="E55" s="7" t="n"/>
      <c r="F55" s="7" t="n"/>
      <c r="G55" s="7" t="n"/>
      <c r="H55" s="8" t="n"/>
      <c r="I55" s="9">
        <f>IF(AND(ISNUMBER($G55),ISNUMBER($H55),$G55&gt;0),ROUND($H55/$G55,2),"")</f>
        <v/>
      </c>
      <c r="J55" s="10" t="n"/>
      <c r="K55" s="6" t="n"/>
      <c r="L55" s="11">
        <f>IF($D55="Backlog",COUNTIF($D$2:$D55,"Backlog"),"")</f>
        <v/>
      </c>
      <c r="M55" s="11">
        <f>IF(ISNUMBER($I55),$I55+ROW()/100000,"")</f>
        <v/>
      </c>
    </row>
    <row r="56">
      <c r="A56" s="6" t="n"/>
      <c r="B56" s="7" t="n"/>
      <c r="C56" s="7" t="n"/>
      <c r="D56" s="7" t="n"/>
      <c r="E56" s="7" t="n"/>
      <c r="F56" s="7" t="n"/>
      <c r="G56" s="7" t="n"/>
      <c r="H56" s="8" t="n"/>
      <c r="I56" s="9">
        <f>IF(AND(ISNUMBER($G56),ISNUMBER($H56),$G56&gt;0),ROUND($H56/$G56,2),"")</f>
        <v/>
      </c>
      <c r="J56" s="10" t="n"/>
      <c r="K56" s="6" t="n"/>
      <c r="L56" s="11">
        <f>IF($D56="Backlog",COUNTIF($D$2:$D56,"Backlog"),"")</f>
        <v/>
      </c>
      <c r="M56" s="11">
        <f>IF(ISNUMBER($I56),$I56+ROW()/100000,"")</f>
        <v/>
      </c>
    </row>
    <row r="57">
      <c r="A57" s="6" t="n"/>
      <c r="B57" s="7" t="n"/>
      <c r="C57" s="7" t="n"/>
      <c r="D57" s="7" t="n"/>
      <c r="E57" s="7" t="n"/>
      <c r="F57" s="7" t="n"/>
      <c r="G57" s="7" t="n"/>
      <c r="H57" s="8" t="n"/>
      <c r="I57" s="9">
        <f>IF(AND(ISNUMBER($G57),ISNUMBER($H57),$G57&gt;0),ROUND($H57/$G57,2),"")</f>
        <v/>
      </c>
      <c r="J57" s="10" t="n"/>
      <c r="K57" s="6" t="n"/>
      <c r="L57" s="11">
        <f>IF($D57="Backlog",COUNTIF($D$2:$D57,"Backlog"),"")</f>
        <v/>
      </c>
      <c r="M57" s="11">
        <f>IF(ISNUMBER($I57),$I57+ROW()/100000,"")</f>
        <v/>
      </c>
    </row>
    <row r="58">
      <c r="A58" s="6" t="n"/>
      <c r="B58" s="7" t="n"/>
      <c r="C58" s="7" t="n"/>
      <c r="D58" s="7" t="n"/>
      <c r="E58" s="7" t="n"/>
      <c r="F58" s="7" t="n"/>
      <c r="G58" s="7" t="n"/>
      <c r="H58" s="8" t="n"/>
      <c r="I58" s="9">
        <f>IF(AND(ISNUMBER($G58),ISNUMBER($H58),$G58&gt;0),ROUND($H58/$G58,2),"")</f>
        <v/>
      </c>
      <c r="J58" s="10" t="n"/>
      <c r="K58" s="6" t="n"/>
      <c r="L58" s="11">
        <f>IF($D58="Backlog",COUNTIF($D$2:$D58,"Backlog"),"")</f>
        <v/>
      </c>
      <c r="M58" s="11">
        <f>IF(ISNUMBER($I58),$I58+ROW()/100000,"")</f>
        <v/>
      </c>
    </row>
    <row r="59">
      <c r="A59" s="6" t="n"/>
      <c r="B59" s="7" t="n"/>
      <c r="C59" s="7" t="n"/>
      <c r="D59" s="7" t="n"/>
      <c r="E59" s="7" t="n"/>
      <c r="F59" s="7" t="n"/>
      <c r="G59" s="7" t="n"/>
      <c r="H59" s="8" t="n"/>
      <c r="I59" s="9">
        <f>IF(AND(ISNUMBER($G59),ISNUMBER($H59),$G59&gt;0),ROUND($H59/$G59,2),"")</f>
        <v/>
      </c>
      <c r="J59" s="10" t="n"/>
      <c r="K59" s="6" t="n"/>
      <c r="L59" s="11">
        <f>IF($D59="Backlog",COUNTIF($D$2:$D59,"Backlog"),"")</f>
        <v/>
      </c>
      <c r="M59" s="11">
        <f>IF(ISNUMBER($I59),$I59+ROW()/100000,"")</f>
        <v/>
      </c>
    </row>
    <row r="60">
      <c r="A60" s="6" t="n"/>
      <c r="B60" s="7" t="n"/>
      <c r="C60" s="7" t="n"/>
      <c r="D60" s="7" t="n"/>
      <c r="E60" s="7" t="n"/>
      <c r="F60" s="7" t="n"/>
      <c r="G60" s="7" t="n"/>
      <c r="H60" s="8" t="n"/>
      <c r="I60" s="9">
        <f>IF(AND(ISNUMBER($G60),ISNUMBER($H60),$G60&gt;0),ROUND($H60/$G60,2),"")</f>
        <v/>
      </c>
      <c r="J60" s="10" t="n"/>
      <c r="K60" s="6" t="n"/>
      <c r="L60" s="11">
        <f>IF($D60="Backlog",COUNTIF($D$2:$D60,"Backlog"),"")</f>
        <v/>
      </c>
      <c r="M60" s="11">
        <f>IF(ISNUMBER($I60),$I60+ROW()/100000,"")</f>
        <v/>
      </c>
    </row>
    <row r="61">
      <c r="A61" s="6" t="n"/>
      <c r="B61" s="7" t="n"/>
      <c r="C61" s="7" t="n"/>
      <c r="D61" s="7" t="n"/>
      <c r="E61" s="7" t="n"/>
      <c r="F61" s="7" t="n"/>
      <c r="G61" s="7" t="n"/>
      <c r="H61" s="8" t="n"/>
      <c r="I61" s="9">
        <f>IF(AND(ISNUMBER($G61),ISNUMBER($H61),$G61&gt;0),ROUND($H61/$G61,2),"")</f>
        <v/>
      </c>
      <c r="J61" s="10" t="n"/>
      <c r="K61" s="6" t="n"/>
      <c r="L61" s="11">
        <f>IF($D61="Backlog",COUNTIF($D$2:$D61,"Backlog"),"")</f>
        <v/>
      </c>
      <c r="M61" s="11">
        <f>IF(ISNUMBER($I61),$I61+ROW()/100000,"")</f>
        <v/>
      </c>
    </row>
    <row r="62">
      <c r="A62" s="6" t="n"/>
      <c r="B62" s="7" t="n"/>
      <c r="C62" s="7" t="n"/>
      <c r="D62" s="7" t="n"/>
      <c r="E62" s="7" t="n"/>
      <c r="F62" s="7" t="n"/>
      <c r="G62" s="7" t="n"/>
      <c r="H62" s="8" t="n"/>
      <c r="I62" s="9">
        <f>IF(AND(ISNUMBER($G62),ISNUMBER($H62),$G62&gt;0),ROUND($H62/$G62,2),"")</f>
        <v/>
      </c>
      <c r="J62" s="10" t="n"/>
      <c r="K62" s="6" t="n"/>
      <c r="L62" s="11">
        <f>IF($D62="Backlog",COUNTIF($D$2:$D62,"Backlog"),"")</f>
        <v/>
      </c>
      <c r="M62" s="11">
        <f>IF(ISNUMBER($I62),$I62+ROW()/100000,"")</f>
        <v/>
      </c>
    </row>
    <row r="63">
      <c r="A63" s="6" t="n"/>
      <c r="B63" s="7" t="n"/>
      <c r="C63" s="7" t="n"/>
      <c r="D63" s="7" t="n"/>
      <c r="E63" s="7" t="n"/>
      <c r="F63" s="7" t="n"/>
      <c r="G63" s="7" t="n"/>
      <c r="H63" s="8" t="n"/>
      <c r="I63" s="9">
        <f>IF(AND(ISNUMBER($G63),ISNUMBER($H63),$G63&gt;0),ROUND($H63/$G63,2),"")</f>
        <v/>
      </c>
      <c r="J63" s="10" t="n"/>
      <c r="K63" s="6" t="n"/>
      <c r="L63" s="11">
        <f>IF($D63="Backlog",COUNTIF($D$2:$D63,"Backlog"),"")</f>
        <v/>
      </c>
      <c r="M63" s="11">
        <f>IF(ISNUMBER($I63),$I63+ROW()/100000,"")</f>
        <v/>
      </c>
    </row>
    <row r="64">
      <c r="A64" s="6" t="n"/>
      <c r="B64" s="7" t="n"/>
      <c r="C64" s="7" t="n"/>
      <c r="D64" s="7" t="n"/>
      <c r="E64" s="7" t="n"/>
      <c r="F64" s="7" t="n"/>
      <c r="G64" s="7" t="n"/>
      <c r="H64" s="8" t="n"/>
      <c r="I64" s="9">
        <f>IF(AND(ISNUMBER($G64),ISNUMBER($H64),$G64&gt;0),ROUND($H64/$G64,2),"")</f>
        <v/>
      </c>
      <c r="J64" s="10" t="n"/>
      <c r="K64" s="6" t="n"/>
      <c r="L64" s="11">
        <f>IF($D64="Backlog",COUNTIF($D$2:$D64,"Backlog"),"")</f>
        <v/>
      </c>
      <c r="M64" s="11">
        <f>IF(ISNUMBER($I64),$I64+ROW()/100000,"")</f>
        <v/>
      </c>
    </row>
    <row r="65">
      <c r="A65" s="6" t="n"/>
      <c r="B65" s="7" t="n"/>
      <c r="C65" s="7" t="n"/>
      <c r="D65" s="7" t="n"/>
      <c r="E65" s="7" t="n"/>
      <c r="F65" s="7" t="n"/>
      <c r="G65" s="7" t="n"/>
      <c r="H65" s="8" t="n"/>
      <c r="I65" s="9">
        <f>IF(AND(ISNUMBER($G65),ISNUMBER($H65),$G65&gt;0),ROUND($H65/$G65,2),"")</f>
        <v/>
      </c>
      <c r="J65" s="10" t="n"/>
      <c r="K65" s="6" t="n"/>
      <c r="L65" s="11">
        <f>IF($D65="Backlog",COUNTIF($D$2:$D65,"Backlog"),"")</f>
        <v/>
      </c>
      <c r="M65" s="11">
        <f>IF(ISNUMBER($I65),$I65+ROW()/100000,"")</f>
        <v/>
      </c>
    </row>
    <row r="66">
      <c r="A66" s="6" t="n"/>
      <c r="B66" s="7" t="n"/>
      <c r="C66" s="7" t="n"/>
      <c r="D66" s="7" t="n"/>
      <c r="E66" s="7" t="n"/>
      <c r="F66" s="7" t="n"/>
      <c r="G66" s="7" t="n"/>
      <c r="H66" s="8" t="n"/>
      <c r="I66" s="9">
        <f>IF(AND(ISNUMBER($G66),ISNUMBER($H66),$G66&gt;0),ROUND($H66/$G66,2),"")</f>
        <v/>
      </c>
      <c r="J66" s="10" t="n"/>
      <c r="K66" s="6" t="n"/>
      <c r="L66" s="11">
        <f>IF($D66="Backlog",COUNTIF($D$2:$D66,"Backlog"),"")</f>
        <v/>
      </c>
      <c r="M66" s="11">
        <f>IF(ISNUMBER($I66),$I66+ROW()/100000,"")</f>
        <v/>
      </c>
    </row>
    <row r="67">
      <c r="A67" s="6" t="n"/>
      <c r="B67" s="7" t="n"/>
      <c r="C67" s="7" t="n"/>
      <c r="D67" s="7" t="n"/>
      <c r="E67" s="7" t="n"/>
      <c r="F67" s="7" t="n"/>
      <c r="G67" s="7" t="n"/>
      <c r="H67" s="8" t="n"/>
      <c r="I67" s="9">
        <f>IF(AND(ISNUMBER($G67),ISNUMBER($H67),$G67&gt;0),ROUND($H67/$G67,2),"")</f>
        <v/>
      </c>
      <c r="J67" s="10" t="n"/>
      <c r="K67" s="6" t="n"/>
      <c r="L67" s="11">
        <f>IF($D67="Backlog",COUNTIF($D$2:$D67,"Backlog"),"")</f>
        <v/>
      </c>
      <c r="M67" s="11">
        <f>IF(ISNUMBER($I67),$I67+ROW()/100000,"")</f>
        <v/>
      </c>
    </row>
    <row r="68">
      <c r="A68" s="6" t="n"/>
      <c r="B68" s="7" t="n"/>
      <c r="C68" s="7" t="n"/>
      <c r="D68" s="7" t="n"/>
      <c r="E68" s="7" t="n"/>
      <c r="F68" s="7" t="n"/>
      <c r="G68" s="7" t="n"/>
      <c r="H68" s="8" t="n"/>
      <c r="I68" s="9">
        <f>IF(AND(ISNUMBER($G68),ISNUMBER($H68),$G68&gt;0),ROUND($H68/$G68,2),"")</f>
        <v/>
      </c>
      <c r="J68" s="10" t="n"/>
      <c r="K68" s="6" t="n"/>
      <c r="L68" s="11">
        <f>IF($D68="Backlog",COUNTIF($D$2:$D68,"Backlog"),"")</f>
        <v/>
      </c>
      <c r="M68" s="11">
        <f>IF(ISNUMBER($I68),$I68+ROW()/100000,"")</f>
        <v/>
      </c>
    </row>
    <row r="69">
      <c r="A69" s="6" t="n"/>
      <c r="B69" s="7" t="n"/>
      <c r="C69" s="7" t="n"/>
      <c r="D69" s="7" t="n"/>
      <c r="E69" s="7" t="n"/>
      <c r="F69" s="7" t="n"/>
      <c r="G69" s="7" t="n"/>
      <c r="H69" s="8" t="n"/>
      <c r="I69" s="9">
        <f>IF(AND(ISNUMBER($G69),ISNUMBER($H69),$G69&gt;0),ROUND($H69/$G69,2),"")</f>
        <v/>
      </c>
      <c r="J69" s="10" t="n"/>
      <c r="K69" s="6" t="n"/>
      <c r="L69" s="11">
        <f>IF($D69="Backlog",COUNTIF($D$2:$D69,"Backlog"),"")</f>
        <v/>
      </c>
      <c r="M69" s="11">
        <f>IF(ISNUMBER($I69),$I69+ROW()/100000,"")</f>
        <v/>
      </c>
    </row>
    <row r="70">
      <c r="A70" s="6" t="n"/>
      <c r="B70" s="7" t="n"/>
      <c r="C70" s="7" t="n"/>
      <c r="D70" s="7" t="n"/>
      <c r="E70" s="7" t="n"/>
      <c r="F70" s="7" t="n"/>
      <c r="G70" s="7" t="n"/>
      <c r="H70" s="8" t="n"/>
      <c r="I70" s="9">
        <f>IF(AND(ISNUMBER($G70),ISNUMBER($H70),$G70&gt;0),ROUND($H70/$G70,2),"")</f>
        <v/>
      </c>
      <c r="J70" s="10" t="n"/>
      <c r="K70" s="6" t="n"/>
      <c r="L70" s="11">
        <f>IF($D70="Backlog",COUNTIF($D$2:$D70,"Backlog"),"")</f>
        <v/>
      </c>
      <c r="M70" s="11">
        <f>IF(ISNUMBER($I70),$I70+ROW()/100000,"")</f>
        <v/>
      </c>
    </row>
    <row r="71">
      <c r="A71" s="6" t="n"/>
      <c r="B71" s="7" t="n"/>
      <c r="C71" s="7" t="n"/>
      <c r="D71" s="7" t="n"/>
      <c r="E71" s="7" t="n"/>
      <c r="F71" s="7" t="n"/>
      <c r="G71" s="7" t="n"/>
      <c r="H71" s="8" t="n"/>
      <c r="I71" s="9">
        <f>IF(AND(ISNUMBER($G71),ISNUMBER($H71),$G71&gt;0),ROUND($H71/$G71,2),"")</f>
        <v/>
      </c>
      <c r="J71" s="10" t="n"/>
      <c r="K71" s="6" t="n"/>
      <c r="L71" s="11">
        <f>IF($D71="Backlog",COUNTIF($D$2:$D71,"Backlog"),"")</f>
        <v/>
      </c>
      <c r="M71" s="11">
        <f>IF(ISNUMBER($I71),$I71+ROW()/100000,"")</f>
        <v/>
      </c>
    </row>
    <row r="72">
      <c r="A72" s="6" t="n"/>
      <c r="B72" s="7" t="n"/>
      <c r="C72" s="7" t="n"/>
      <c r="D72" s="7" t="n"/>
      <c r="E72" s="7" t="n"/>
      <c r="F72" s="7" t="n"/>
      <c r="G72" s="7" t="n"/>
      <c r="H72" s="8" t="n"/>
      <c r="I72" s="9">
        <f>IF(AND(ISNUMBER($G72),ISNUMBER($H72),$G72&gt;0),ROUND($H72/$G72,2),"")</f>
        <v/>
      </c>
      <c r="J72" s="10" t="n"/>
      <c r="K72" s="6" t="n"/>
      <c r="L72" s="11">
        <f>IF($D72="Backlog",COUNTIF($D$2:$D72,"Backlog"),"")</f>
        <v/>
      </c>
      <c r="M72" s="11">
        <f>IF(ISNUMBER($I72),$I72+ROW()/100000,"")</f>
        <v/>
      </c>
    </row>
    <row r="73">
      <c r="A73" s="6" t="n"/>
      <c r="B73" s="7" t="n"/>
      <c r="C73" s="7" t="n"/>
      <c r="D73" s="7" t="n"/>
      <c r="E73" s="7" t="n"/>
      <c r="F73" s="7" t="n"/>
      <c r="G73" s="7" t="n"/>
      <c r="H73" s="8" t="n"/>
      <c r="I73" s="9">
        <f>IF(AND(ISNUMBER($G73),ISNUMBER($H73),$G73&gt;0),ROUND($H73/$G73,2),"")</f>
        <v/>
      </c>
      <c r="J73" s="10" t="n"/>
      <c r="K73" s="6" t="n"/>
      <c r="L73" s="11">
        <f>IF($D73="Backlog",COUNTIF($D$2:$D73,"Backlog"),"")</f>
        <v/>
      </c>
      <c r="M73" s="11">
        <f>IF(ISNUMBER($I73),$I73+ROW()/100000,"")</f>
        <v/>
      </c>
    </row>
    <row r="74">
      <c r="A74" s="6" t="n"/>
      <c r="B74" s="7" t="n"/>
      <c r="C74" s="7" t="n"/>
      <c r="D74" s="7" t="n"/>
      <c r="E74" s="7" t="n"/>
      <c r="F74" s="7" t="n"/>
      <c r="G74" s="7" t="n"/>
      <c r="H74" s="8" t="n"/>
      <c r="I74" s="9">
        <f>IF(AND(ISNUMBER($G74),ISNUMBER($H74),$G74&gt;0),ROUND($H74/$G74,2),"")</f>
        <v/>
      </c>
      <c r="J74" s="10" t="n"/>
      <c r="K74" s="6" t="n"/>
      <c r="L74" s="11">
        <f>IF($D74="Backlog",COUNTIF($D$2:$D74,"Backlog"),"")</f>
        <v/>
      </c>
      <c r="M74" s="11">
        <f>IF(ISNUMBER($I74),$I74+ROW()/100000,"")</f>
        <v/>
      </c>
    </row>
    <row r="75">
      <c r="A75" s="6" t="n"/>
      <c r="B75" s="7" t="n"/>
      <c r="C75" s="7" t="n"/>
      <c r="D75" s="7" t="n"/>
      <c r="E75" s="7" t="n"/>
      <c r="F75" s="7" t="n"/>
      <c r="G75" s="7" t="n"/>
      <c r="H75" s="8" t="n"/>
      <c r="I75" s="9">
        <f>IF(AND(ISNUMBER($G75),ISNUMBER($H75),$G75&gt;0),ROUND($H75/$G75,2),"")</f>
        <v/>
      </c>
      <c r="J75" s="10" t="n"/>
      <c r="K75" s="6" t="n"/>
      <c r="L75" s="11">
        <f>IF($D75="Backlog",COUNTIF($D$2:$D75,"Backlog"),"")</f>
        <v/>
      </c>
      <c r="M75" s="11">
        <f>IF(ISNUMBER($I75),$I75+ROW()/100000,"")</f>
        <v/>
      </c>
    </row>
    <row r="76">
      <c r="A76" s="6" t="n"/>
      <c r="B76" s="7" t="n"/>
      <c r="C76" s="7" t="n"/>
      <c r="D76" s="7" t="n"/>
      <c r="E76" s="7" t="n"/>
      <c r="F76" s="7" t="n"/>
      <c r="G76" s="7" t="n"/>
      <c r="H76" s="8" t="n"/>
      <c r="I76" s="9">
        <f>IF(AND(ISNUMBER($G76),ISNUMBER($H76),$G76&gt;0),ROUND($H76/$G76,2),"")</f>
        <v/>
      </c>
      <c r="J76" s="10" t="n"/>
      <c r="K76" s="6" t="n"/>
      <c r="L76" s="11">
        <f>IF($D76="Backlog",COUNTIF($D$2:$D76,"Backlog"),"")</f>
        <v/>
      </c>
      <c r="M76" s="11">
        <f>IF(ISNUMBER($I76),$I76+ROW()/100000,"")</f>
        <v/>
      </c>
    </row>
    <row r="77">
      <c r="A77" s="6" t="n"/>
      <c r="B77" s="7" t="n"/>
      <c r="C77" s="7" t="n"/>
      <c r="D77" s="7" t="n"/>
      <c r="E77" s="7" t="n"/>
      <c r="F77" s="7" t="n"/>
      <c r="G77" s="7" t="n"/>
      <c r="H77" s="8" t="n"/>
      <c r="I77" s="9">
        <f>IF(AND(ISNUMBER($G77),ISNUMBER($H77),$G77&gt;0),ROUND($H77/$G77,2),"")</f>
        <v/>
      </c>
      <c r="J77" s="10" t="n"/>
      <c r="K77" s="6" t="n"/>
      <c r="L77" s="11">
        <f>IF($D77="Backlog",COUNTIF($D$2:$D77,"Backlog"),"")</f>
        <v/>
      </c>
      <c r="M77" s="11">
        <f>IF(ISNUMBER($I77),$I77+ROW()/100000,"")</f>
        <v/>
      </c>
    </row>
    <row r="78">
      <c r="A78" s="6" t="n"/>
      <c r="B78" s="7" t="n"/>
      <c r="C78" s="7" t="n"/>
      <c r="D78" s="7" t="n"/>
      <c r="E78" s="7" t="n"/>
      <c r="F78" s="7" t="n"/>
      <c r="G78" s="7" t="n"/>
      <c r="H78" s="8" t="n"/>
      <c r="I78" s="9">
        <f>IF(AND(ISNUMBER($G78),ISNUMBER($H78),$G78&gt;0),ROUND($H78/$G78,2),"")</f>
        <v/>
      </c>
      <c r="J78" s="10" t="n"/>
      <c r="K78" s="6" t="n"/>
      <c r="L78" s="11">
        <f>IF($D78="Backlog",COUNTIF($D$2:$D78,"Backlog"),"")</f>
        <v/>
      </c>
      <c r="M78" s="11">
        <f>IF(ISNUMBER($I78),$I78+ROW()/100000,"")</f>
        <v/>
      </c>
    </row>
    <row r="79">
      <c r="A79" s="6" t="n"/>
      <c r="B79" s="7" t="n"/>
      <c r="C79" s="7" t="n"/>
      <c r="D79" s="7" t="n"/>
      <c r="E79" s="7" t="n"/>
      <c r="F79" s="7" t="n"/>
      <c r="G79" s="7" t="n"/>
      <c r="H79" s="8" t="n"/>
      <c r="I79" s="9">
        <f>IF(AND(ISNUMBER($G79),ISNUMBER($H79),$G79&gt;0),ROUND($H79/$G79,2),"")</f>
        <v/>
      </c>
      <c r="J79" s="10" t="n"/>
      <c r="K79" s="6" t="n"/>
      <c r="L79" s="11">
        <f>IF($D79="Backlog",COUNTIF($D$2:$D79,"Backlog"),"")</f>
        <v/>
      </c>
      <c r="M79" s="11">
        <f>IF(ISNUMBER($I79),$I79+ROW()/100000,"")</f>
        <v/>
      </c>
    </row>
    <row r="80">
      <c r="A80" s="6" t="n"/>
      <c r="B80" s="7" t="n"/>
      <c r="C80" s="7" t="n"/>
      <c r="D80" s="7" t="n"/>
      <c r="E80" s="7" t="n"/>
      <c r="F80" s="7" t="n"/>
      <c r="G80" s="7" t="n"/>
      <c r="H80" s="8" t="n"/>
      <c r="I80" s="9">
        <f>IF(AND(ISNUMBER($G80),ISNUMBER($H80),$G80&gt;0),ROUND($H80/$G80,2),"")</f>
        <v/>
      </c>
      <c r="J80" s="10" t="n"/>
      <c r="K80" s="6" t="n"/>
      <c r="L80" s="11">
        <f>IF($D80="Backlog",COUNTIF($D$2:$D80,"Backlog"),"")</f>
        <v/>
      </c>
      <c r="M80" s="11">
        <f>IF(ISNUMBER($I80),$I80+ROW()/100000,"")</f>
        <v/>
      </c>
    </row>
    <row r="81">
      <c r="A81" s="6" t="n"/>
      <c r="B81" s="7" t="n"/>
      <c r="C81" s="7" t="n"/>
      <c r="D81" s="7" t="n"/>
      <c r="E81" s="7" t="n"/>
      <c r="F81" s="7" t="n"/>
      <c r="G81" s="7" t="n"/>
      <c r="H81" s="8" t="n"/>
      <c r="I81" s="9">
        <f>IF(AND(ISNUMBER($G81),ISNUMBER($H81),$G81&gt;0),ROUND($H81/$G81,2),"")</f>
        <v/>
      </c>
      <c r="J81" s="10" t="n"/>
      <c r="K81" s="6" t="n"/>
      <c r="L81" s="11">
        <f>IF($D81="Backlog",COUNTIF($D$2:$D81,"Backlog"),"")</f>
        <v/>
      </c>
      <c r="M81" s="11">
        <f>IF(ISNUMBER($I81),$I81+ROW()/100000,"")</f>
        <v/>
      </c>
    </row>
    <row r="82">
      <c r="A82" s="6" t="n"/>
      <c r="B82" s="7" t="n"/>
      <c r="C82" s="7" t="n"/>
      <c r="D82" s="7" t="n"/>
      <c r="E82" s="7" t="n"/>
      <c r="F82" s="7" t="n"/>
      <c r="G82" s="7" t="n"/>
      <c r="H82" s="8" t="n"/>
      <c r="I82" s="9">
        <f>IF(AND(ISNUMBER($G82),ISNUMBER($H82),$G82&gt;0),ROUND($H82/$G82,2),"")</f>
        <v/>
      </c>
      <c r="J82" s="10" t="n"/>
      <c r="K82" s="6" t="n"/>
      <c r="L82" s="11">
        <f>IF($D82="Backlog",COUNTIF($D$2:$D82,"Backlog"),"")</f>
        <v/>
      </c>
      <c r="M82" s="11">
        <f>IF(ISNUMBER($I82),$I82+ROW()/100000,"")</f>
        <v/>
      </c>
    </row>
    <row r="83">
      <c r="A83" s="6" t="n"/>
      <c r="B83" s="7" t="n"/>
      <c r="C83" s="7" t="n"/>
      <c r="D83" s="7" t="n"/>
      <c r="E83" s="7" t="n"/>
      <c r="F83" s="7" t="n"/>
      <c r="G83" s="7" t="n"/>
      <c r="H83" s="8" t="n"/>
      <c r="I83" s="9">
        <f>IF(AND(ISNUMBER($G83),ISNUMBER($H83),$G83&gt;0),ROUND($H83/$G83,2),"")</f>
        <v/>
      </c>
      <c r="J83" s="10" t="n"/>
      <c r="K83" s="6" t="n"/>
      <c r="L83" s="11">
        <f>IF($D83="Backlog",COUNTIF($D$2:$D83,"Backlog"),"")</f>
        <v/>
      </c>
      <c r="M83" s="11">
        <f>IF(ISNUMBER($I83),$I83+ROW()/100000,"")</f>
        <v/>
      </c>
    </row>
    <row r="84">
      <c r="A84" s="6" t="n"/>
      <c r="B84" s="7" t="n"/>
      <c r="C84" s="7" t="n"/>
      <c r="D84" s="7" t="n"/>
      <c r="E84" s="7" t="n"/>
      <c r="F84" s="7" t="n"/>
      <c r="G84" s="7" t="n"/>
      <c r="H84" s="8" t="n"/>
      <c r="I84" s="9">
        <f>IF(AND(ISNUMBER($G84),ISNUMBER($H84),$G84&gt;0),ROUND($H84/$G84,2),"")</f>
        <v/>
      </c>
      <c r="J84" s="10" t="n"/>
      <c r="K84" s="6" t="n"/>
      <c r="L84" s="11">
        <f>IF($D84="Backlog",COUNTIF($D$2:$D84,"Backlog"),"")</f>
        <v/>
      </c>
      <c r="M84" s="11">
        <f>IF(ISNUMBER($I84),$I84+ROW()/100000,"")</f>
        <v/>
      </c>
    </row>
    <row r="85">
      <c r="A85" s="6" t="n"/>
      <c r="B85" s="7" t="n"/>
      <c r="C85" s="7" t="n"/>
      <c r="D85" s="7" t="n"/>
      <c r="E85" s="7" t="n"/>
      <c r="F85" s="7" t="n"/>
      <c r="G85" s="7" t="n"/>
      <c r="H85" s="8" t="n"/>
      <c r="I85" s="9">
        <f>IF(AND(ISNUMBER($G85),ISNUMBER($H85),$G85&gt;0),ROUND($H85/$G85,2),"")</f>
        <v/>
      </c>
      <c r="J85" s="10" t="n"/>
      <c r="K85" s="6" t="n"/>
      <c r="L85" s="11">
        <f>IF($D85="Backlog",COUNTIF($D$2:$D85,"Backlog"),"")</f>
        <v/>
      </c>
      <c r="M85" s="11">
        <f>IF(ISNUMBER($I85),$I85+ROW()/100000,"")</f>
        <v/>
      </c>
    </row>
    <row r="86">
      <c r="A86" s="6" t="n"/>
      <c r="B86" s="7" t="n"/>
      <c r="C86" s="7" t="n"/>
      <c r="D86" s="7" t="n"/>
      <c r="E86" s="7" t="n"/>
      <c r="F86" s="7" t="n"/>
      <c r="G86" s="7" t="n"/>
      <c r="H86" s="8" t="n"/>
      <c r="I86" s="9">
        <f>IF(AND(ISNUMBER($G86),ISNUMBER($H86),$G86&gt;0),ROUND($H86/$G86,2),"")</f>
        <v/>
      </c>
      <c r="J86" s="10" t="n"/>
      <c r="K86" s="6" t="n"/>
      <c r="L86" s="11">
        <f>IF($D86="Backlog",COUNTIF($D$2:$D86,"Backlog"),"")</f>
        <v/>
      </c>
      <c r="M86" s="11">
        <f>IF(ISNUMBER($I86),$I86+ROW()/100000,"")</f>
        <v/>
      </c>
    </row>
    <row r="87">
      <c r="A87" s="6" t="n"/>
      <c r="B87" s="7" t="n"/>
      <c r="C87" s="7" t="n"/>
      <c r="D87" s="7" t="n"/>
      <c r="E87" s="7" t="n"/>
      <c r="F87" s="7" t="n"/>
      <c r="G87" s="7" t="n"/>
      <c r="H87" s="8" t="n"/>
      <c r="I87" s="9">
        <f>IF(AND(ISNUMBER($G87),ISNUMBER($H87),$G87&gt;0),ROUND($H87/$G87,2),"")</f>
        <v/>
      </c>
      <c r="J87" s="10" t="n"/>
      <c r="K87" s="6" t="n"/>
      <c r="L87" s="11">
        <f>IF($D87="Backlog",COUNTIF($D$2:$D87,"Backlog"),"")</f>
        <v/>
      </c>
      <c r="M87" s="11">
        <f>IF(ISNUMBER($I87),$I87+ROW()/100000,"")</f>
        <v/>
      </c>
    </row>
    <row r="88">
      <c r="A88" s="6" t="n"/>
      <c r="B88" s="7" t="n"/>
      <c r="C88" s="7" t="n"/>
      <c r="D88" s="7" t="n"/>
      <c r="E88" s="7" t="n"/>
      <c r="F88" s="7" t="n"/>
      <c r="G88" s="7" t="n"/>
      <c r="H88" s="8" t="n"/>
      <c r="I88" s="9">
        <f>IF(AND(ISNUMBER($G88),ISNUMBER($H88),$G88&gt;0),ROUND($H88/$G88,2),"")</f>
        <v/>
      </c>
      <c r="J88" s="10" t="n"/>
      <c r="K88" s="6" t="n"/>
      <c r="L88" s="11">
        <f>IF($D88="Backlog",COUNTIF($D$2:$D88,"Backlog"),"")</f>
        <v/>
      </c>
      <c r="M88" s="11">
        <f>IF(ISNUMBER($I88),$I88+ROW()/100000,"")</f>
        <v/>
      </c>
    </row>
    <row r="89">
      <c r="A89" s="6" t="n"/>
      <c r="B89" s="7" t="n"/>
      <c r="C89" s="7" t="n"/>
      <c r="D89" s="7" t="n"/>
      <c r="E89" s="7" t="n"/>
      <c r="F89" s="7" t="n"/>
      <c r="G89" s="7" t="n"/>
      <c r="H89" s="8" t="n"/>
      <c r="I89" s="9">
        <f>IF(AND(ISNUMBER($G89),ISNUMBER($H89),$G89&gt;0),ROUND($H89/$G89,2),"")</f>
        <v/>
      </c>
      <c r="J89" s="10" t="n"/>
      <c r="K89" s="6" t="n"/>
      <c r="L89" s="11">
        <f>IF($D89="Backlog",COUNTIF($D$2:$D89,"Backlog"),"")</f>
        <v/>
      </c>
      <c r="M89" s="11">
        <f>IF(ISNUMBER($I89),$I89+ROW()/100000,"")</f>
        <v/>
      </c>
    </row>
    <row r="90">
      <c r="A90" s="6" t="n"/>
      <c r="B90" s="7" t="n"/>
      <c r="C90" s="7" t="n"/>
      <c r="D90" s="7" t="n"/>
      <c r="E90" s="7" t="n"/>
      <c r="F90" s="7" t="n"/>
      <c r="G90" s="7" t="n"/>
      <c r="H90" s="8" t="n"/>
      <c r="I90" s="9">
        <f>IF(AND(ISNUMBER($G90),ISNUMBER($H90),$G90&gt;0),ROUND($H90/$G90,2),"")</f>
        <v/>
      </c>
      <c r="J90" s="10" t="n"/>
      <c r="K90" s="6" t="n"/>
      <c r="L90" s="11">
        <f>IF($D90="Backlog",COUNTIF($D$2:$D90,"Backlog"),"")</f>
        <v/>
      </c>
      <c r="M90" s="11">
        <f>IF(ISNUMBER($I90),$I90+ROW()/100000,"")</f>
        <v/>
      </c>
    </row>
    <row r="91">
      <c r="A91" s="6" t="n"/>
      <c r="B91" s="7" t="n"/>
      <c r="C91" s="7" t="n"/>
      <c r="D91" s="7" t="n"/>
      <c r="E91" s="7" t="n"/>
      <c r="F91" s="7" t="n"/>
      <c r="G91" s="7" t="n"/>
      <c r="H91" s="8" t="n"/>
      <c r="I91" s="9">
        <f>IF(AND(ISNUMBER($G91),ISNUMBER($H91),$G91&gt;0),ROUND($H91/$G91,2),"")</f>
        <v/>
      </c>
      <c r="J91" s="10" t="n"/>
      <c r="K91" s="6" t="n"/>
      <c r="L91" s="11">
        <f>IF($D91="Backlog",COUNTIF($D$2:$D91,"Backlog"),"")</f>
        <v/>
      </c>
      <c r="M91" s="11">
        <f>IF(ISNUMBER($I91),$I91+ROW()/100000,"")</f>
        <v/>
      </c>
    </row>
    <row r="92">
      <c r="A92" s="6" t="n"/>
      <c r="B92" s="7" t="n"/>
      <c r="C92" s="7" t="n"/>
      <c r="D92" s="7" t="n"/>
      <c r="E92" s="7" t="n"/>
      <c r="F92" s="7" t="n"/>
      <c r="G92" s="7" t="n"/>
      <c r="H92" s="8" t="n"/>
      <c r="I92" s="9">
        <f>IF(AND(ISNUMBER($G92),ISNUMBER($H92),$G92&gt;0),ROUND($H92/$G92,2),"")</f>
        <v/>
      </c>
      <c r="J92" s="10" t="n"/>
      <c r="K92" s="6" t="n"/>
      <c r="L92" s="11">
        <f>IF($D92="Backlog",COUNTIF($D$2:$D92,"Backlog"),"")</f>
        <v/>
      </c>
      <c r="M92" s="11">
        <f>IF(ISNUMBER($I92),$I92+ROW()/100000,"")</f>
        <v/>
      </c>
    </row>
    <row r="93">
      <c r="A93" s="6" t="n"/>
      <c r="B93" s="7" t="n"/>
      <c r="C93" s="7" t="n"/>
      <c r="D93" s="7" t="n"/>
      <c r="E93" s="7" t="n"/>
      <c r="F93" s="7" t="n"/>
      <c r="G93" s="7" t="n"/>
      <c r="H93" s="8" t="n"/>
      <c r="I93" s="9">
        <f>IF(AND(ISNUMBER($G93),ISNUMBER($H93),$G93&gt;0),ROUND($H93/$G93,2),"")</f>
        <v/>
      </c>
      <c r="J93" s="10" t="n"/>
      <c r="K93" s="6" t="n"/>
      <c r="L93" s="11">
        <f>IF($D93="Backlog",COUNTIF($D$2:$D93,"Backlog"),"")</f>
        <v/>
      </c>
      <c r="M93" s="11">
        <f>IF(ISNUMBER($I93),$I93+ROW()/100000,"")</f>
        <v/>
      </c>
    </row>
    <row r="94">
      <c r="A94" s="6" t="n"/>
      <c r="B94" s="7" t="n"/>
      <c r="C94" s="7" t="n"/>
      <c r="D94" s="7" t="n"/>
      <c r="E94" s="7" t="n"/>
      <c r="F94" s="7" t="n"/>
      <c r="G94" s="7" t="n"/>
      <c r="H94" s="8" t="n"/>
      <c r="I94" s="9">
        <f>IF(AND(ISNUMBER($G94),ISNUMBER($H94),$G94&gt;0),ROUND($H94/$G94,2),"")</f>
        <v/>
      </c>
      <c r="J94" s="10" t="n"/>
      <c r="K94" s="6" t="n"/>
      <c r="L94" s="11">
        <f>IF($D94="Backlog",COUNTIF($D$2:$D94,"Backlog"),"")</f>
        <v/>
      </c>
      <c r="M94" s="11">
        <f>IF(ISNUMBER($I94),$I94+ROW()/100000,"")</f>
        <v/>
      </c>
    </row>
    <row r="95">
      <c r="A95" s="6" t="n"/>
      <c r="B95" s="7" t="n"/>
      <c r="C95" s="7" t="n"/>
      <c r="D95" s="7" t="n"/>
      <c r="E95" s="7" t="n"/>
      <c r="F95" s="7" t="n"/>
      <c r="G95" s="7" t="n"/>
      <c r="H95" s="8" t="n"/>
      <c r="I95" s="9">
        <f>IF(AND(ISNUMBER($G95),ISNUMBER($H95),$G95&gt;0),ROUND($H95/$G95,2),"")</f>
        <v/>
      </c>
      <c r="J95" s="10" t="n"/>
      <c r="K95" s="6" t="n"/>
      <c r="L95" s="11">
        <f>IF($D95="Backlog",COUNTIF($D$2:$D95,"Backlog"),"")</f>
        <v/>
      </c>
      <c r="M95" s="11">
        <f>IF(ISNUMBER($I95),$I95+ROW()/100000,"")</f>
        <v/>
      </c>
    </row>
    <row r="96">
      <c r="A96" s="6" t="n"/>
      <c r="B96" s="7" t="n"/>
      <c r="C96" s="7" t="n"/>
      <c r="D96" s="7" t="n"/>
      <c r="E96" s="7" t="n"/>
      <c r="F96" s="7" t="n"/>
      <c r="G96" s="7" t="n"/>
      <c r="H96" s="8" t="n"/>
      <c r="I96" s="9">
        <f>IF(AND(ISNUMBER($G96),ISNUMBER($H96),$G96&gt;0),ROUND($H96/$G96,2),"")</f>
        <v/>
      </c>
      <c r="J96" s="10" t="n"/>
      <c r="K96" s="6" t="n"/>
      <c r="L96" s="11">
        <f>IF($D96="Backlog",COUNTIF($D$2:$D96,"Backlog"),"")</f>
        <v/>
      </c>
      <c r="M96" s="11">
        <f>IF(ISNUMBER($I96),$I96+ROW()/100000,"")</f>
        <v/>
      </c>
    </row>
    <row r="97">
      <c r="A97" s="6" t="n"/>
      <c r="B97" s="7" t="n"/>
      <c r="C97" s="7" t="n"/>
      <c r="D97" s="7" t="n"/>
      <c r="E97" s="7" t="n"/>
      <c r="F97" s="7" t="n"/>
      <c r="G97" s="7" t="n"/>
      <c r="H97" s="8" t="n"/>
      <c r="I97" s="9">
        <f>IF(AND(ISNUMBER($G97),ISNUMBER($H97),$G97&gt;0),ROUND($H97/$G97,2),"")</f>
        <v/>
      </c>
      <c r="J97" s="10" t="n"/>
      <c r="K97" s="6" t="n"/>
      <c r="L97" s="11">
        <f>IF($D97="Backlog",COUNTIF($D$2:$D97,"Backlog"),"")</f>
        <v/>
      </c>
      <c r="M97" s="11">
        <f>IF(ISNUMBER($I97),$I97+ROW()/100000,"")</f>
        <v/>
      </c>
    </row>
    <row r="98">
      <c r="A98" s="6" t="n"/>
      <c r="B98" s="7" t="n"/>
      <c r="C98" s="7" t="n"/>
      <c r="D98" s="7" t="n"/>
      <c r="E98" s="7" t="n"/>
      <c r="F98" s="7" t="n"/>
      <c r="G98" s="7" t="n"/>
      <c r="H98" s="8" t="n"/>
      <c r="I98" s="9">
        <f>IF(AND(ISNUMBER($G98),ISNUMBER($H98),$G98&gt;0),ROUND($H98/$G98,2),"")</f>
        <v/>
      </c>
      <c r="J98" s="10" t="n"/>
      <c r="K98" s="6" t="n"/>
      <c r="L98" s="11">
        <f>IF($D98="Backlog",COUNTIF($D$2:$D98,"Backlog"),"")</f>
        <v/>
      </c>
      <c r="M98" s="11">
        <f>IF(ISNUMBER($I98),$I98+ROW()/100000,"")</f>
        <v/>
      </c>
    </row>
    <row r="99">
      <c r="A99" s="6" t="n"/>
      <c r="B99" s="7" t="n"/>
      <c r="C99" s="7" t="n"/>
      <c r="D99" s="7" t="n"/>
      <c r="E99" s="7" t="n"/>
      <c r="F99" s="7" t="n"/>
      <c r="G99" s="7" t="n"/>
      <c r="H99" s="8" t="n"/>
      <c r="I99" s="9">
        <f>IF(AND(ISNUMBER($G99),ISNUMBER($H99),$G99&gt;0),ROUND($H99/$G99,2),"")</f>
        <v/>
      </c>
      <c r="J99" s="10" t="n"/>
      <c r="K99" s="6" t="n"/>
      <c r="L99" s="11">
        <f>IF($D99="Backlog",COUNTIF($D$2:$D99,"Backlog"),"")</f>
        <v/>
      </c>
      <c r="M99" s="11">
        <f>IF(ISNUMBER($I99),$I99+ROW()/100000,"")</f>
        <v/>
      </c>
    </row>
    <row r="100">
      <c r="A100" s="6" t="n"/>
      <c r="B100" s="7" t="n"/>
      <c r="C100" s="7" t="n"/>
      <c r="D100" s="7" t="n"/>
      <c r="E100" s="7" t="n"/>
      <c r="F100" s="7" t="n"/>
      <c r="G100" s="7" t="n"/>
      <c r="H100" s="8" t="n"/>
      <c r="I100" s="9">
        <f>IF(AND(ISNUMBER($G100),ISNUMBER($H100),$G100&gt;0),ROUND($H100/$G100,2),"")</f>
        <v/>
      </c>
      <c r="J100" s="10" t="n"/>
      <c r="K100" s="6" t="n"/>
      <c r="L100" s="11">
        <f>IF($D100="Backlog",COUNTIF($D$2:$D100,"Backlog"),"")</f>
        <v/>
      </c>
      <c r="M100" s="11">
        <f>IF(ISNUMBER($I100),$I100+ROW()/100000,"")</f>
        <v/>
      </c>
    </row>
    <row r="101">
      <c r="A101" s="6" t="n"/>
      <c r="B101" s="7" t="n"/>
      <c r="C101" s="7" t="n"/>
      <c r="D101" s="7" t="n"/>
      <c r="E101" s="7" t="n"/>
      <c r="F101" s="7" t="n"/>
      <c r="G101" s="7" t="n"/>
      <c r="H101" s="8" t="n"/>
      <c r="I101" s="9">
        <f>IF(AND(ISNUMBER($G101),ISNUMBER($H101),$G101&gt;0),ROUND($H101/$G101,2),"")</f>
        <v/>
      </c>
      <c r="J101" s="10" t="n"/>
      <c r="K101" s="6" t="n"/>
      <c r="L101" s="11">
        <f>IF($D101="Backlog",COUNTIF($D$2:$D101,"Backlog"),"")</f>
        <v/>
      </c>
      <c r="M101" s="11">
        <f>IF(ISNUMBER($I101),$I101+ROW()/100000,"")</f>
        <v/>
      </c>
    </row>
    <row r="102">
      <c r="A102" s="6" t="n"/>
      <c r="B102" s="7" t="n"/>
      <c r="C102" s="7" t="n"/>
      <c r="D102" s="7" t="n"/>
      <c r="E102" s="7" t="n"/>
      <c r="F102" s="7" t="n"/>
      <c r="G102" s="7" t="n"/>
      <c r="H102" s="8" t="n"/>
      <c r="I102" s="9">
        <f>IF(AND(ISNUMBER($G102),ISNUMBER($H102),$G102&gt;0),ROUND($H102/$G102,2),"")</f>
        <v/>
      </c>
      <c r="J102" s="10" t="n"/>
      <c r="K102" s="6" t="n"/>
      <c r="L102" s="11">
        <f>IF($D102="Backlog",COUNTIF($D$2:$D102,"Backlog"),"")</f>
        <v/>
      </c>
      <c r="M102" s="11">
        <f>IF(ISNUMBER($I102),$I102+ROW()/100000,"")</f>
        <v/>
      </c>
    </row>
    <row r="103">
      <c r="A103" s="6" t="n"/>
      <c r="B103" s="7" t="n"/>
      <c r="C103" s="7" t="n"/>
      <c r="D103" s="7" t="n"/>
      <c r="E103" s="7" t="n"/>
      <c r="F103" s="7" t="n"/>
      <c r="G103" s="7" t="n"/>
      <c r="H103" s="8" t="n"/>
      <c r="I103" s="9">
        <f>IF(AND(ISNUMBER($G103),ISNUMBER($H103),$G103&gt;0),ROUND($H103/$G103,2),"")</f>
        <v/>
      </c>
      <c r="J103" s="10" t="n"/>
      <c r="K103" s="6" t="n"/>
      <c r="L103" s="11">
        <f>IF($D103="Backlog",COUNTIF($D$2:$D103,"Backlog"),"")</f>
        <v/>
      </c>
      <c r="M103" s="11">
        <f>IF(ISNUMBER($I103),$I103+ROW()/100000,"")</f>
        <v/>
      </c>
    </row>
    <row r="104">
      <c r="A104" s="6" t="n"/>
      <c r="B104" s="7" t="n"/>
      <c r="C104" s="7" t="n"/>
      <c r="D104" s="7" t="n"/>
      <c r="E104" s="7" t="n"/>
      <c r="F104" s="7" t="n"/>
      <c r="G104" s="7" t="n"/>
      <c r="H104" s="8" t="n"/>
      <c r="I104" s="9">
        <f>IF(AND(ISNUMBER($G104),ISNUMBER($H104),$G104&gt;0),ROUND($H104/$G104,2),"")</f>
        <v/>
      </c>
      <c r="J104" s="10" t="n"/>
      <c r="K104" s="6" t="n"/>
      <c r="L104" s="11">
        <f>IF($D104="Backlog",COUNTIF($D$2:$D104,"Backlog"),"")</f>
        <v/>
      </c>
      <c r="M104" s="11">
        <f>IF(ISNUMBER($I104),$I104+ROW()/100000,"")</f>
        <v/>
      </c>
    </row>
    <row r="105">
      <c r="A105" s="6" t="n"/>
      <c r="B105" s="7" t="n"/>
      <c r="C105" s="7" t="n"/>
      <c r="D105" s="7" t="n"/>
      <c r="E105" s="7" t="n"/>
      <c r="F105" s="7" t="n"/>
      <c r="G105" s="7" t="n"/>
      <c r="H105" s="8" t="n"/>
      <c r="I105" s="9">
        <f>IF(AND(ISNUMBER($G105),ISNUMBER($H105),$G105&gt;0),ROUND($H105/$G105,2),"")</f>
        <v/>
      </c>
      <c r="J105" s="10" t="n"/>
      <c r="K105" s="6" t="n"/>
      <c r="L105" s="11">
        <f>IF($D105="Backlog",COUNTIF($D$2:$D105,"Backlog"),"")</f>
        <v/>
      </c>
      <c r="M105" s="11">
        <f>IF(ISNUMBER($I105),$I105+ROW()/100000,"")</f>
        <v/>
      </c>
    </row>
    <row r="106">
      <c r="A106" s="6" t="n"/>
      <c r="B106" s="7" t="n"/>
      <c r="C106" s="7" t="n"/>
      <c r="D106" s="7" t="n"/>
      <c r="E106" s="7" t="n"/>
      <c r="F106" s="7" t="n"/>
      <c r="G106" s="7" t="n"/>
      <c r="H106" s="8" t="n"/>
      <c r="I106" s="9">
        <f>IF(AND(ISNUMBER($G106),ISNUMBER($H106),$G106&gt;0),ROUND($H106/$G106,2),"")</f>
        <v/>
      </c>
      <c r="J106" s="10" t="n"/>
      <c r="K106" s="6" t="n"/>
      <c r="L106" s="11">
        <f>IF($D106="Backlog",COUNTIF($D$2:$D106,"Backlog"),"")</f>
        <v/>
      </c>
      <c r="M106" s="11">
        <f>IF(ISNUMBER($I106),$I106+ROW()/100000,"")</f>
        <v/>
      </c>
    </row>
    <row r="107">
      <c r="A107" s="6" t="n"/>
      <c r="B107" s="7" t="n"/>
      <c r="C107" s="7" t="n"/>
      <c r="D107" s="7" t="n"/>
      <c r="E107" s="7" t="n"/>
      <c r="F107" s="7" t="n"/>
      <c r="G107" s="7" t="n"/>
      <c r="H107" s="8" t="n"/>
      <c r="I107" s="9">
        <f>IF(AND(ISNUMBER($G107),ISNUMBER($H107),$G107&gt;0),ROUND($H107/$G107,2),"")</f>
        <v/>
      </c>
      <c r="J107" s="10" t="n"/>
      <c r="K107" s="6" t="n"/>
      <c r="L107" s="11">
        <f>IF($D107="Backlog",COUNTIF($D$2:$D107,"Backlog"),"")</f>
        <v/>
      </c>
      <c r="M107" s="11">
        <f>IF(ISNUMBER($I107),$I107+ROW()/100000,"")</f>
        <v/>
      </c>
    </row>
    <row r="108">
      <c r="A108" s="6" t="n"/>
      <c r="B108" s="7" t="n"/>
      <c r="C108" s="7" t="n"/>
      <c r="D108" s="7" t="n"/>
      <c r="E108" s="7" t="n"/>
      <c r="F108" s="7" t="n"/>
      <c r="G108" s="7" t="n"/>
      <c r="H108" s="8" t="n"/>
      <c r="I108" s="9">
        <f>IF(AND(ISNUMBER($G108),ISNUMBER($H108),$G108&gt;0),ROUND($H108/$G108,2),"")</f>
        <v/>
      </c>
      <c r="J108" s="10" t="n"/>
      <c r="K108" s="6" t="n"/>
      <c r="L108" s="11">
        <f>IF($D108="Backlog",COUNTIF($D$2:$D108,"Backlog"),"")</f>
        <v/>
      </c>
      <c r="M108" s="11">
        <f>IF(ISNUMBER($I108),$I108+ROW()/100000,"")</f>
        <v/>
      </c>
    </row>
    <row r="109">
      <c r="A109" s="6" t="n"/>
      <c r="B109" s="7" t="n"/>
      <c r="C109" s="7" t="n"/>
      <c r="D109" s="7" t="n"/>
      <c r="E109" s="7" t="n"/>
      <c r="F109" s="7" t="n"/>
      <c r="G109" s="7" t="n"/>
      <c r="H109" s="8" t="n"/>
      <c r="I109" s="9">
        <f>IF(AND(ISNUMBER($G109),ISNUMBER($H109),$G109&gt;0),ROUND($H109/$G109,2),"")</f>
        <v/>
      </c>
      <c r="J109" s="10" t="n"/>
      <c r="K109" s="6" t="n"/>
      <c r="L109" s="11">
        <f>IF($D109="Backlog",COUNTIF($D$2:$D109,"Backlog"),"")</f>
        <v/>
      </c>
      <c r="M109" s="11">
        <f>IF(ISNUMBER($I109),$I109+ROW()/100000,"")</f>
        <v/>
      </c>
    </row>
    <row r="110">
      <c r="A110" s="6" t="n"/>
      <c r="B110" s="7" t="n"/>
      <c r="C110" s="7" t="n"/>
      <c r="D110" s="7" t="n"/>
      <c r="E110" s="7" t="n"/>
      <c r="F110" s="7" t="n"/>
      <c r="G110" s="7" t="n"/>
      <c r="H110" s="8" t="n"/>
      <c r="I110" s="9">
        <f>IF(AND(ISNUMBER($G110),ISNUMBER($H110),$G110&gt;0),ROUND($H110/$G110,2),"")</f>
        <v/>
      </c>
      <c r="J110" s="10" t="n"/>
      <c r="K110" s="6" t="n"/>
      <c r="L110" s="11">
        <f>IF($D110="Backlog",COUNTIF($D$2:$D110,"Backlog"),"")</f>
        <v/>
      </c>
      <c r="M110" s="11">
        <f>IF(ISNUMBER($I110),$I110+ROW()/100000,"")</f>
        <v/>
      </c>
    </row>
    <row r="111">
      <c r="A111" s="6" t="n"/>
      <c r="B111" s="7" t="n"/>
      <c r="C111" s="7" t="n"/>
      <c r="D111" s="7" t="n"/>
      <c r="E111" s="7" t="n"/>
      <c r="F111" s="7" t="n"/>
      <c r="G111" s="7" t="n"/>
      <c r="H111" s="8" t="n"/>
      <c r="I111" s="9">
        <f>IF(AND(ISNUMBER($G111),ISNUMBER($H111),$G111&gt;0),ROUND($H111/$G111,2),"")</f>
        <v/>
      </c>
      <c r="J111" s="10" t="n"/>
      <c r="K111" s="6" t="n"/>
      <c r="L111" s="11">
        <f>IF($D111="Backlog",COUNTIF($D$2:$D111,"Backlog"),"")</f>
        <v/>
      </c>
      <c r="M111" s="11">
        <f>IF(ISNUMBER($I111),$I111+ROW()/100000,"")</f>
        <v/>
      </c>
    </row>
    <row r="112">
      <c r="A112" s="6" t="n"/>
      <c r="B112" s="7" t="n"/>
      <c r="C112" s="7" t="n"/>
      <c r="D112" s="7" t="n"/>
      <c r="E112" s="7" t="n"/>
      <c r="F112" s="7" t="n"/>
      <c r="G112" s="7" t="n"/>
      <c r="H112" s="8" t="n"/>
      <c r="I112" s="9">
        <f>IF(AND(ISNUMBER($G112),ISNUMBER($H112),$G112&gt;0),ROUND($H112/$G112,2),"")</f>
        <v/>
      </c>
      <c r="J112" s="10" t="n"/>
      <c r="K112" s="6" t="n"/>
      <c r="L112" s="11">
        <f>IF($D112="Backlog",COUNTIF($D$2:$D112,"Backlog"),"")</f>
        <v/>
      </c>
      <c r="M112" s="11">
        <f>IF(ISNUMBER($I112),$I112+ROW()/100000,"")</f>
        <v/>
      </c>
    </row>
    <row r="113">
      <c r="A113" s="6" t="n"/>
      <c r="B113" s="7" t="n"/>
      <c r="C113" s="7" t="n"/>
      <c r="D113" s="7" t="n"/>
      <c r="E113" s="7" t="n"/>
      <c r="F113" s="7" t="n"/>
      <c r="G113" s="7" t="n"/>
      <c r="H113" s="8" t="n"/>
      <c r="I113" s="9">
        <f>IF(AND(ISNUMBER($G113),ISNUMBER($H113),$G113&gt;0),ROUND($H113/$G113,2),"")</f>
        <v/>
      </c>
      <c r="J113" s="10" t="n"/>
      <c r="K113" s="6" t="n"/>
      <c r="L113" s="11">
        <f>IF($D113="Backlog",COUNTIF($D$2:$D113,"Backlog"),"")</f>
        <v/>
      </c>
      <c r="M113" s="11">
        <f>IF(ISNUMBER($I113),$I113+ROW()/100000,"")</f>
        <v/>
      </c>
    </row>
    <row r="114">
      <c r="A114" s="6" t="n"/>
      <c r="B114" s="7" t="n"/>
      <c r="C114" s="7" t="n"/>
      <c r="D114" s="7" t="n"/>
      <c r="E114" s="7" t="n"/>
      <c r="F114" s="7" t="n"/>
      <c r="G114" s="7" t="n"/>
      <c r="H114" s="8" t="n"/>
      <c r="I114" s="9">
        <f>IF(AND(ISNUMBER($G114),ISNUMBER($H114),$G114&gt;0),ROUND($H114/$G114,2),"")</f>
        <v/>
      </c>
      <c r="J114" s="10" t="n"/>
      <c r="K114" s="6" t="n"/>
      <c r="L114" s="11">
        <f>IF($D114="Backlog",COUNTIF($D$2:$D114,"Backlog"),"")</f>
        <v/>
      </c>
      <c r="M114" s="11">
        <f>IF(ISNUMBER($I114),$I114+ROW()/100000,"")</f>
        <v/>
      </c>
    </row>
    <row r="115">
      <c r="A115" s="6" t="n"/>
      <c r="B115" s="7" t="n"/>
      <c r="C115" s="7" t="n"/>
      <c r="D115" s="7" t="n"/>
      <c r="E115" s="7" t="n"/>
      <c r="F115" s="7" t="n"/>
      <c r="G115" s="7" t="n"/>
      <c r="H115" s="8" t="n"/>
      <c r="I115" s="9">
        <f>IF(AND(ISNUMBER($G115),ISNUMBER($H115),$G115&gt;0),ROUND($H115/$G115,2),"")</f>
        <v/>
      </c>
      <c r="J115" s="10" t="n"/>
      <c r="K115" s="6" t="n"/>
      <c r="L115" s="11">
        <f>IF($D115="Backlog",COUNTIF($D$2:$D115,"Backlog"),"")</f>
        <v/>
      </c>
      <c r="M115" s="11">
        <f>IF(ISNUMBER($I115),$I115+ROW()/100000,"")</f>
        <v/>
      </c>
    </row>
    <row r="116">
      <c r="A116" s="6" t="n"/>
      <c r="B116" s="7" t="n"/>
      <c r="C116" s="7" t="n"/>
      <c r="D116" s="7" t="n"/>
      <c r="E116" s="7" t="n"/>
      <c r="F116" s="7" t="n"/>
      <c r="G116" s="7" t="n"/>
      <c r="H116" s="8" t="n"/>
      <c r="I116" s="9">
        <f>IF(AND(ISNUMBER($G116),ISNUMBER($H116),$G116&gt;0),ROUND($H116/$G116,2),"")</f>
        <v/>
      </c>
      <c r="J116" s="10" t="n"/>
      <c r="K116" s="6" t="n"/>
      <c r="L116" s="11">
        <f>IF($D116="Backlog",COUNTIF($D$2:$D116,"Backlog"),"")</f>
        <v/>
      </c>
      <c r="M116" s="11">
        <f>IF(ISNUMBER($I116),$I116+ROW()/100000,"")</f>
        <v/>
      </c>
    </row>
    <row r="117">
      <c r="A117" s="6" t="n"/>
      <c r="B117" s="7" t="n"/>
      <c r="C117" s="7" t="n"/>
      <c r="D117" s="7" t="n"/>
      <c r="E117" s="7" t="n"/>
      <c r="F117" s="7" t="n"/>
      <c r="G117" s="7" t="n"/>
      <c r="H117" s="8" t="n"/>
      <c r="I117" s="9">
        <f>IF(AND(ISNUMBER($G117),ISNUMBER($H117),$G117&gt;0),ROUND($H117/$G117,2),"")</f>
        <v/>
      </c>
      <c r="J117" s="10" t="n"/>
      <c r="K117" s="6" t="n"/>
      <c r="L117" s="11">
        <f>IF($D117="Backlog",COUNTIF($D$2:$D117,"Backlog"),"")</f>
        <v/>
      </c>
      <c r="M117" s="11">
        <f>IF(ISNUMBER($I117),$I117+ROW()/100000,"")</f>
        <v/>
      </c>
    </row>
    <row r="118">
      <c r="A118" s="6" t="n"/>
      <c r="B118" s="7" t="n"/>
      <c r="C118" s="7" t="n"/>
      <c r="D118" s="7" t="n"/>
      <c r="E118" s="7" t="n"/>
      <c r="F118" s="7" t="n"/>
      <c r="G118" s="7" t="n"/>
      <c r="H118" s="8" t="n"/>
      <c r="I118" s="9">
        <f>IF(AND(ISNUMBER($G118),ISNUMBER($H118),$G118&gt;0),ROUND($H118/$G118,2),"")</f>
        <v/>
      </c>
      <c r="J118" s="10" t="n"/>
      <c r="K118" s="6" t="n"/>
      <c r="L118" s="11">
        <f>IF($D118="Backlog",COUNTIF($D$2:$D118,"Backlog"),"")</f>
        <v/>
      </c>
      <c r="M118" s="11">
        <f>IF(ISNUMBER($I118),$I118+ROW()/100000,"")</f>
        <v/>
      </c>
    </row>
    <row r="119">
      <c r="A119" s="6" t="n"/>
      <c r="B119" s="7" t="n"/>
      <c r="C119" s="7" t="n"/>
      <c r="D119" s="7" t="n"/>
      <c r="E119" s="7" t="n"/>
      <c r="F119" s="7" t="n"/>
      <c r="G119" s="7" t="n"/>
      <c r="H119" s="8" t="n"/>
      <c r="I119" s="9">
        <f>IF(AND(ISNUMBER($G119),ISNUMBER($H119),$G119&gt;0),ROUND($H119/$G119,2),"")</f>
        <v/>
      </c>
      <c r="J119" s="10" t="n"/>
      <c r="K119" s="6" t="n"/>
      <c r="L119" s="11">
        <f>IF($D119="Backlog",COUNTIF($D$2:$D119,"Backlog"),"")</f>
        <v/>
      </c>
      <c r="M119" s="11">
        <f>IF(ISNUMBER($I119),$I119+ROW()/100000,"")</f>
        <v/>
      </c>
    </row>
    <row r="120">
      <c r="A120" s="6" t="n"/>
      <c r="B120" s="7" t="n"/>
      <c r="C120" s="7" t="n"/>
      <c r="D120" s="7" t="n"/>
      <c r="E120" s="7" t="n"/>
      <c r="F120" s="7" t="n"/>
      <c r="G120" s="7" t="n"/>
      <c r="H120" s="8" t="n"/>
      <c r="I120" s="9">
        <f>IF(AND(ISNUMBER($G120),ISNUMBER($H120),$G120&gt;0),ROUND($H120/$G120,2),"")</f>
        <v/>
      </c>
      <c r="J120" s="10" t="n"/>
      <c r="K120" s="6" t="n"/>
      <c r="L120" s="11">
        <f>IF($D120="Backlog",COUNTIF($D$2:$D120,"Backlog"),"")</f>
        <v/>
      </c>
      <c r="M120" s="11">
        <f>IF(ISNUMBER($I120),$I120+ROW()/100000,"")</f>
        <v/>
      </c>
    </row>
    <row r="121">
      <c r="A121" s="6" t="n"/>
      <c r="B121" s="7" t="n"/>
      <c r="C121" s="7" t="n"/>
      <c r="D121" s="7" t="n"/>
      <c r="E121" s="7" t="n"/>
      <c r="F121" s="7" t="n"/>
      <c r="G121" s="7" t="n"/>
      <c r="H121" s="8" t="n"/>
      <c r="I121" s="9">
        <f>IF(AND(ISNUMBER($G121),ISNUMBER($H121),$G121&gt;0),ROUND($H121/$G121,2),"")</f>
        <v/>
      </c>
      <c r="J121" s="10" t="n"/>
      <c r="K121" s="6" t="n"/>
      <c r="L121" s="11">
        <f>IF($D121="Backlog",COUNTIF($D$2:$D121,"Backlog"),"")</f>
        <v/>
      </c>
      <c r="M121" s="11">
        <f>IF(ISNUMBER($I121),$I121+ROW()/100000,"")</f>
        <v/>
      </c>
    </row>
  </sheetData>
  <dataValidations count="4">
    <dataValidation sqref="B2:B121" showDropDown="0" showInputMessage="0" showErrorMessage="0" allowBlank="1" type="list">
      <formula1>='Lists'!$A$2:$A$21</formula1>
    </dataValidation>
    <dataValidation sqref="C2:C121" showDropDown="0" showInputMessage="0" showErrorMessage="0" allowBlank="1" type="list">
      <formula1>='Lists'!$B$2:$B$21</formula1>
    </dataValidation>
    <dataValidation sqref="D2:D121" showDropDown="0" showInputMessage="0" showErrorMessage="0" allowBlank="1" type="list">
      <formula1>='Lists'!$C$2:$C$8</formula1>
    </dataValidation>
    <dataValidation sqref="E2:E121" showDropDown="0" showInputMessage="0" showErrorMessage="0" allowBlank="1" type="list">
      <formula1>='Lists'!$D$2:$D$5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4" customWidth="1" min="4" max="4"/>
    <col width="24" customWidth="1" min="5" max="5"/>
    <col width="14" customWidth="1" min="6" max="6"/>
    <col width="12" customWidth="1" min="7" max="7"/>
  </cols>
  <sheetData>
    <row r="2">
      <c r="B2" s="1" t="inlineStr">
        <is>
          <t>BACKLOG BOSS — DASHBOARD</t>
        </is>
      </c>
    </row>
    <row r="3">
      <c r="B3" s="2" t="inlineStr">
        <is>
          <t>Live stats from your library. Nothing to fill in here.</t>
        </is>
      </c>
    </row>
    <row r="5">
      <c r="B5" s="12" t="inlineStr">
        <is>
          <t>Total games</t>
        </is>
      </c>
      <c r="D5" s="12" t="inlineStr">
        <is>
          <t>Hours played</t>
        </is>
      </c>
      <c r="F5" s="12" t="inlineStr">
        <is>
          <t>Total spent</t>
        </is>
      </c>
    </row>
    <row r="6">
      <c r="B6" s="13">
        <f>COUNTA('Game Library'!$A$2:$A$121)</f>
        <v/>
      </c>
      <c r="D6" s="13">
        <f>SUM('Game Library'!$G$2:$G$121)</f>
        <v/>
      </c>
      <c r="F6" s="14">
        <f>SUM('Game Library'!$H$2:$H$121)</f>
        <v/>
      </c>
    </row>
    <row r="8">
      <c r="B8" s="12" t="inlineStr">
        <is>
          <t>Avg rating /10</t>
        </is>
      </c>
      <c r="D8" s="12" t="inlineStr">
        <is>
          <t>Completion %</t>
        </is>
      </c>
      <c r="F8" s="12" t="inlineStr">
        <is>
          <t>Pile of Shame</t>
        </is>
      </c>
    </row>
    <row r="9">
      <c r="B9" s="15">
        <f>IFERROR(ROUND(AVERAGEIF('Game Library'!$F$2:$F$121,"&gt;0"),1),"-")</f>
        <v/>
      </c>
      <c r="D9" s="16">
        <f>IFERROR((COUNTIF('Game Library'!$D$2:$D$121,"Beaten")+COUNTIF('Game Library'!$D$2:$D$121,"Completed"))/(COUNTA('Game Library'!$A$2:$A$121)-COUNTIF('Game Library'!$D$2:$D$121,"Wishlist")),0)</f>
        <v/>
      </c>
      <c r="F9" s="17">
        <f>COUNTIF('Game Library'!$D$2:$D$121,"Backlog")</f>
        <v/>
      </c>
    </row>
    <row r="11">
      <c r="B11" s="4" t="inlineStr">
        <is>
          <t>LIBRARY BY STATUS</t>
        </is>
      </c>
      <c r="E11" s="4" t="inlineStr">
        <is>
          <t>WHAT TO PLAY NEXT</t>
        </is>
      </c>
    </row>
    <row r="12">
      <c r="B12" s="5" t="inlineStr">
        <is>
          <t>Status</t>
        </is>
      </c>
      <c r="C12" s="5" t="inlineStr">
        <is>
          <t>Count</t>
        </is>
      </c>
      <c r="E12" s="18">
        <f>IFERROR(INDEX('Game Library'!$A$2:$A$121,MATCH(RANDBETWEEN(1,COUNTIF('Game Library'!$D$2:$D$121,"Backlog")),'Game Library'!$L$2:$L$121,0)),"— add backlog games —")</f>
        <v/>
      </c>
      <c r="F12" s="19" t="n"/>
    </row>
    <row r="13">
      <c r="B13" s="20" t="inlineStr">
        <is>
          <t>Backlog</t>
        </is>
      </c>
      <c r="C13" s="21">
        <f>COUNTIF('Game Library'!$D$2:$D$121,"Backlog")</f>
        <v/>
      </c>
      <c r="E13" s="22" t="n"/>
      <c r="F13" s="23" t="n"/>
    </row>
    <row r="14">
      <c r="B14" s="20" t="inlineStr">
        <is>
          <t>Playing</t>
        </is>
      </c>
      <c r="C14" s="21">
        <f>COUNTIF('Game Library'!$D$2:$D$121,"Playing")</f>
        <v/>
      </c>
      <c r="E14" s="24" t="inlineStr">
        <is>
          <t>(click an empty cell + Enter to reroll)</t>
        </is>
      </c>
    </row>
    <row r="15">
      <c r="B15" s="20" t="inlineStr">
        <is>
          <t>Beaten</t>
        </is>
      </c>
      <c r="C15" s="21">
        <f>COUNTIF('Game Library'!$D$2:$D$121,"Beaten")</f>
        <v/>
      </c>
    </row>
    <row r="16">
      <c r="B16" s="20" t="inlineStr">
        <is>
          <t>Completed</t>
        </is>
      </c>
      <c r="C16" s="21">
        <f>COUNTIF('Game Library'!$D$2:$D$121,"Completed")</f>
        <v/>
      </c>
      <c r="E16" s="4" t="inlineStr">
        <is>
          <t>BEST VALUE  (lowest cost / hour)</t>
        </is>
      </c>
    </row>
    <row r="17">
      <c r="B17" s="20" t="inlineStr">
        <is>
          <t>Dropped</t>
        </is>
      </c>
      <c r="C17" s="21">
        <f>COUNTIF('Game Library'!$D$2:$D$121,"Dropped")</f>
        <v/>
      </c>
      <c r="E17" s="5" t="inlineStr">
        <is>
          <t>#</t>
        </is>
      </c>
      <c r="F17" s="5" t="inlineStr">
        <is>
          <t>Game</t>
        </is>
      </c>
      <c r="G17" s="5" t="inlineStr">
        <is>
          <t>Cost/Hr</t>
        </is>
      </c>
    </row>
    <row r="18">
      <c r="B18" s="20" t="inlineStr">
        <is>
          <t>Wishlist</t>
        </is>
      </c>
      <c r="C18" s="21">
        <f>COUNTIF('Game Library'!$D$2:$D$121,"Wishlist")</f>
        <v/>
      </c>
      <c r="E18" s="25" t="n">
        <v>1</v>
      </c>
      <c r="F18" s="20">
        <f>IFERROR(INDEX('Game Library'!$A$2:$A$121,MATCH(SMALL('Game Library'!$M$2:$M$121,1),'Game Library'!$M$2:$M$121,0)),"—")</f>
        <v/>
      </c>
      <c r="G18" s="26">
        <f>IFERROR(INDEX('Game Library'!$I$2:$I$121,MATCH(SMALL('Game Library'!$M$2:$M$121,1),'Game Library'!$M$2:$M$121,0)),"")</f>
        <v/>
      </c>
    </row>
    <row r="19">
      <c r="E19" s="25" t="n">
        <v>2</v>
      </c>
      <c r="F19" s="20">
        <f>IFERROR(INDEX('Game Library'!$A$2:$A$121,MATCH(SMALL('Game Library'!$M$2:$M$121,2),'Game Library'!$M$2:$M$121,0)),"—")</f>
        <v/>
      </c>
      <c r="G19" s="26">
        <f>IFERROR(INDEX('Game Library'!$I$2:$I$121,MATCH(SMALL('Game Library'!$M$2:$M$121,2),'Game Library'!$M$2:$M$121,0)),"")</f>
        <v/>
      </c>
    </row>
    <row r="20">
      <c r="E20" s="25" t="n">
        <v>3</v>
      </c>
      <c r="F20" s="20">
        <f>IFERROR(INDEX('Game Library'!$A$2:$A$121,MATCH(SMALL('Game Library'!$M$2:$M$121,3),'Game Library'!$M$2:$M$121,0)),"—")</f>
        <v/>
      </c>
      <c r="G20" s="26">
        <f>IFERROR(INDEX('Game Library'!$I$2:$I$121,MATCH(SMALL('Game Library'!$M$2:$M$121,3),'Game Library'!$M$2:$M$121,0)),"")</f>
        <v/>
      </c>
    </row>
    <row r="21">
      <c r="E21" s="25" t="n">
        <v>4</v>
      </c>
      <c r="F21" s="20">
        <f>IFERROR(INDEX('Game Library'!$A$2:$A$121,MATCH(SMALL('Game Library'!$M$2:$M$121,4),'Game Library'!$M$2:$M$121,0)),"—")</f>
        <v/>
      </c>
      <c r="G21" s="26">
        <f>IFERROR(INDEX('Game Library'!$I$2:$I$121,MATCH(SMALL('Game Library'!$M$2:$M$121,4),'Game Library'!$M$2:$M$121,0)),"")</f>
        <v/>
      </c>
    </row>
    <row r="22">
      <c r="E22" s="25" t="n">
        <v>5</v>
      </c>
      <c r="F22" s="20">
        <f>IFERROR(INDEX('Game Library'!$A$2:$A$121,MATCH(SMALL('Game Library'!$M$2:$M$121,5),'Game Library'!$M$2:$M$121,0)),"—")</f>
        <v/>
      </c>
      <c r="G22" s="26">
        <f>IFERROR(INDEX('Game Library'!$I$2:$I$121,MATCH(SMALL('Game Library'!$M$2:$M$121,5),'Game Library'!$M$2:$M$121,0)),"")</f>
        <v/>
      </c>
    </row>
  </sheetData>
  <mergeCells count="1">
    <mergeCell ref="E12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2026-08-15T13:36:25Z</dcterms:created>
  <dcterms:modified xsi:type="dcterms:W3CDTF">2026-08-15T13:36:25Z</dcterms:modified>
</cp:coreProperties>
</file>