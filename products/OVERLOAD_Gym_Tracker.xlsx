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rcises" sheetId="2" state="visible" r:id="rId2"/>
    <sheet name="Workout Log" sheetId="3" state="visible" r:id="rId3"/>
    <sheet name="Progr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111827"/>
      <sz val="18"/>
    </font>
    <font>
      <name val="Arial"/>
      <color rgb="004B5563"/>
      <sz val="11"/>
    </font>
    <font>
      <name val="Arial"/>
      <color rgb="00111827"/>
      <sz val="11"/>
    </font>
    <font>
      <name val="Arial"/>
      <b val="1"/>
      <color rgb="002563EB"/>
      <sz val="12"/>
    </font>
    <font>
      <name val="Arial"/>
      <b val="1"/>
      <color rgb="00FFFFFF"/>
      <sz val="11"/>
    </font>
    <font>
      <name val="Arial"/>
      <b val="1"/>
      <color rgb="00B45309"/>
      <sz val="11"/>
    </font>
    <font>
      <name val="Arial"/>
      <b val="1"/>
      <color rgb="00111827"/>
      <sz val="11"/>
    </font>
    <font>
      <name val="Arial"/>
      <b val="1"/>
      <color rgb="002563EB"/>
    </font>
    <font>
      <name val="Arial"/>
      <b val="1"/>
      <color rgb="002563EB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2F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165" fontId="8" fillId="3" borderId="1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7" fillId="0" borderId="1" pivotButton="0" quotePrefix="0" xfId="0"/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OVERLOAD</t>
        </is>
      </c>
    </row>
    <row r="3">
      <c r="B3" s="2" t="inlineStr">
        <is>
          <t>The gym tracker that tells you what to lift next.</t>
        </is>
      </c>
    </row>
    <row r="5">
      <c r="B5" s="3" t="inlineStr"/>
    </row>
    <row r="6">
      <c r="B6" s="4" t="inlineStr">
        <is>
          <t>HOW IT WORKS</t>
        </is>
      </c>
    </row>
    <row r="7">
      <c r="B7" s="3" t="inlineStr">
        <is>
          <t>1.  Open the 'Workout Log' tab. Every time you train, add one row per set.</t>
        </is>
      </c>
    </row>
    <row r="8">
      <c r="B8" s="3" t="inlineStr">
        <is>
          <t>2.  Fill only the BLUE cells: Date, Exercise, Weight, Reps, RPE (optional).</t>
        </is>
      </c>
    </row>
    <row r="9">
      <c r="B9" s="3" t="inlineStr">
        <is>
          <t>3.  The grey cells fill themselves — Volume, Estimated 1-Rep-Max, and a 🏆 PR flag when you beat your best.</t>
        </is>
      </c>
    </row>
    <row r="10">
      <c r="B10" s="3" t="inlineStr">
        <is>
          <t>4.  Open the 'Progress' tab to see your best lifts and your suggested next top-set weight for every exercise.</t>
        </is>
      </c>
    </row>
    <row r="11">
      <c r="B11" s="3" t="inlineStr"/>
    </row>
    <row r="12">
      <c r="B12" s="4" t="inlineStr">
        <is>
          <t>THE THREE NUMBERS IT CALCULATES FOR YOU</t>
        </is>
      </c>
    </row>
    <row r="13">
      <c r="B13" s="3" t="inlineStr">
        <is>
          <t>•  Estimated 1RM  —  your true strength on a lift, using the Epley formula: weight × (1 + reps/30).</t>
        </is>
      </c>
    </row>
    <row r="14">
      <c r="B14" s="3" t="inlineStr">
        <is>
          <t>•  New PR?  —  automatically flags the set as a personal record when its estimated 1RM beats every past set of that lift.</t>
        </is>
      </c>
    </row>
    <row r="15">
      <c r="B15" s="3" t="inlineStr">
        <is>
          <t>•  Suggested Next Weight  —  your heaviest set + one step, so you always know the next target. That is progressive overload.</t>
        </is>
      </c>
    </row>
    <row r="16">
      <c r="B16" s="3" t="inlineStr"/>
    </row>
    <row r="17">
      <c r="B17" s="4" t="inlineStr">
        <is>
          <t>TIPS</t>
        </is>
      </c>
    </row>
    <row r="18">
      <c r="B18" s="3" t="inlineStr">
        <is>
          <t>•  Add or rename up to 25 lifts on the 'Exercises' tab — the dropdown and the Progress dashboard update automatically.</t>
        </is>
      </c>
    </row>
    <row r="19">
      <c r="B19" s="3" t="inlineStr">
        <is>
          <t>•  Using pounds? Change ONE cell — the 'Weight step' on the Progress tab — from 2.5 to 5. That's it.</t>
        </is>
      </c>
    </row>
    <row r="20">
      <c r="B20" s="3" t="inlineStr">
        <is>
          <t>•  Keep it in Google Sheets (File ▸ Import) or Excel — it works in both.</t>
        </is>
      </c>
    </row>
    <row r="21">
      <c r="B21" s="3" t="inlineStr"/>
    </row>
    <row r="22">
      <c r="B22" s="4" t="inlineStr">
        <is>
          <t>LEGEND</t>
        </is>
      </c>
    </row>
    <row r="23">
      <c r="B23" s="3" t="inlineStr">
        <is>
          <t>BLUE cell = you type here        GREY cell = calculated for you, don't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Exercises (edit freely)</t>
        </is>
      </c>
    </row>
    <row r="2">
      <c r="A2" s="6" t="inlineStr">
        <is>
          <t>Bench Press</t>
        </is>
      </c>
    </row>
    <row r="3">
      <c r="A3" s="6" t="inlineStr">
        <is>
          <t>Squat</t>
        </is>
      </c>
    </row>
    <row r="4">
      <c r="A4" s="6" t="inlineStr">
        <is>
          <t>Deadlift</t>
        </is>
      </c>
    </row>
    <row r="5">
      <c r="A5" s="6" t="inlineStr">
        <is>
          <t>Overhead Press</t>
        </is>
      </c>
    </row>
    <row r="6">
      <c r="A6" s="6" t="inlineStr">
        <is>
          <t>Barbell Row</t>
        </is>
      </c>
    </row>
    <row r="7">
      <c r="A7" s="6" t="inlineStr">
        <is>
          <t>Pull Up</t>
        </is>
      </c>
    </row>
    <row r="8">
      <c r="A8" s="6" t="inlineStr">
        <is>
          <t>Incline Bench</t>
        </is>
      </c>
    </row>
    <row r="9">
      <c r="A9" s="6" t="inlineStr">
        <is>
          <t>Romanian Deadlift</t>
        </is>
      </c>
    </row>
    <row r="10">
      <c r="A10" s="6" t="inlineStr">
        <is>
          <t>Leg Press</t>
        </is>
      </c>
    </row>
    <row r="11">
      <c r="A11" s="6" t="inlineStr">
        <is>
          <t>Lat Pulldown</t>
        </is>
      </c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8" customWidth="1" min="4" max="4"/>
    <col width="8" customWidth="1" min="5" max="5"/>
    <col width="12" customWidth="1" min="6" max="6"/>
    <col width="14" customWidth="1" min="7" max="7"/>
    <col width="11" customWidth="1" min="8" max="8"/>
  </cols>
  <sheetData>
    <row r="1">
      <c r="A1" s="5" t="inlineStr">
        <is>
          <t>Date</t>
        </is>
      </c>
      <c r="B1" s="5" t="inlineStr">
        <is>
          <t>Exercise</t>
        </is>
      </c>
      <c r="C1" s="5" t="inlineStr">
        <is>
          <t>Weight (kg)</t>
        </is>
      </c>
      <c r="D1" s="5" t="inlineStr">
        <is>
          <t>Reps</t>
        </is>
      </c>
      <c r="E1" s="5" t="inlineStr">
        <is>
          <t>RPE</t>
        </is>
      </c>
      <c r="F1" s="5" t="inlineStr">
        <is>
          <t>Volume (kg)</t>
        </is>
      </c>
      <c r="G1" s="5" t="inlineStr">
        <is>
          <t>Est. 1RM (kg)</t>
        </is>
      </c>
      <c r="H1" s="5" t="inlineStr">
        <is>
          <t>New PR?</t>
        </is>
      </c>
    </row>
    <row r="2">
      <c r="A2" s="7" t="n">
        <v>46238</v>
      </c>
      <c r="B2" s="8" t="inlineStr">
        <is>
          <t>Bench Press</t>
        </is>
      </c>
      <c r="C2" s="8" t="n">
        <v>60</v>
      </c>
      <c r="D2" s="8" t="n">
        <v>8</v>
      </c>
      <c r="E2" s="8" t="n">
        <v>7</v>
      </c>
      <c r="F2" s="9">
        <f>IF(AND(ISNUMBER($C2),ISNUMBER($D2)),$C2*$D2,"")</f>
        <v/>
      </c>
      <c r="G2" s="9">
        <f>IF(AND(ISNUMBER($C2),ISNUMBER($D2)),ROUND($C2*(1+$D2/30),1),"")</f>
        <v/>
      </c>
      <c r="H2" s="10">
        <f>IF($G2="","",IF(ROUND($C2*(1+$D2/30),1)=ROUND(SUMPRODUCT(MAX(($B$2:$B2=$B2)*N($C$2:$C2)*(1+N($D$2:$D2)/30))),1),"🏆 PR",""))</f>
        <v/>
      </c>
    </row>
    <row r="3">
      <c r="A3" s="7" t="n">
        <v>46238</v>
      </c>
      <c r="B3" s="8" t="inlineStr">
        <is>
          <t>Bench Press</t>
        </is>
      </c>
      <c r="C3" s="8" t="n">
        <v>55</v>
      </c>
      <c r="D3" s="8" t="n">
        <v>10</v>
      </c>
      <c r="E3" s="8" t="n">
        <v>8</v>
      </c>
      <c r="F3" s="9">
        <f>IF(AND(ISNUMBER($C3),ISNUMBER($D3)),$C3*$D3,"")</f>
        <v/>
      </c>
      <c r="G3" s="9">
        <f>IF(AND(ISNUMBER($C3),ISNUMBER($D3)),ROUND($C3*(1+$D3/30),1),"")</f>
        <v/>
      </c>
      <c r="H3" s="10">
        <f>IF($G3="","",IF(ROUND($C3*(1+$D3/30),1)=ROUND(SUMPRODUCT(MAX(($B$2:$B3=$B3)*N($C$2:$C3)*(1+N($D$2:$D3)/30))),1),"🏆 PR",""))</f>
        <v/>
      </c>
    </row>
    <row r="4">
      <c r="A4" s="7" t="n">
        <v>46238</v>
      </c>
      <c r="B4" s="8" t="inlineStr">
        <is>
          <t>Overhead Press</t>
        </is>
      </c>
      <c r="C4" s="8" t="n">
        <v>40</v>
      </c>
      <c r="D4" s="8" t="n">
        <v>8</v>
      </c>
      <c r="E4" s="8" t="n">
        <v>8</v>
      </c>
      <c r="F4" s="9">
        <f>IF(AND(ISNUMBER($C4),ISNUMBER($D4)),$C4*$D4,"")</f>
        <v/>
      </c>
      <c r="G4" s="9">
        <f>IF(AND(ISNUMBER($C4),ISNUMBER($D4)),ROUND($C4*(1+$D4/30),1),"")</f>
        <v/>
      </c>
      <c r="H4" s="10">
        <f>IF($G4="","",IF(ROUND($C4*(1+$D4/30),1)=ROUND(SUMPRODUCT(MAX(($B$2:$B4=$B4)*N($C$2:$C4)*(1+N($D$2:$D4)/30))),1),"🏆 PR",""))</f>
        <v/>
      </c>
    </row>
    <row r="5">
      <c r="A5" s="7" t="n">
        <v>46239</v>
      </c>
      <c r="B5" s="8" t="inlineStr">
        <is>
          <t>Squat</t>
        </is>
      </c>
      <c r="C5" s="8" t="n">
        <v>100</v>
      </c>
      <c r="D5" s="8" t="n">
        <v>5</v>
      </c>
      <c r="E5" s="8" t="n">
        <v>7</v>
      </c>
      <c r="F5" s="9">
        <f>IF(AND(ISNUMBER($C5),ISNUMBER($D5)),$C5*$D5,"")</f>
        <v/>
      </c>
      <c r="G5" s="9">
        <f>IF(AND(ISNUMBER($C5),ISNUMBER($D5)),ROUND($C5*(1+$D5/30),1),"")</f>
        <v/>
      </c>
      <c r="H5" s="10">
        <f>IF($G5="","",IF(ROUND($C5*(1+$D5/30),1)=ROUND(SUMPRODUCT(MAX(($B$2:$B5=$B5)*N($C$2:$C5)*(1+N($D$2:$D5)/30))),1),"🏆 PR",""))</f>
        <v/>
      </c>
    </row>
    <row r="6">
      <c r="A6" s="7" t="n">
        <v>46239</v>
      </c>
      <c r="B6" s="8" t="inlineStr">
        <is>
          <t>Barbell Row</t>
        </is>
      </c>
      <c r="C6" s="8" t="n">
        <v>70</v>
      </c>
      <c r="D6" s="8" t="n">
        <v>8</v>
      </c>
      <c r="E6" s="8" t="n">
        <v>7</v>
      </c>
      <c r="F6" s="9">
        <f>IF(AND(ISNUMBER($C6),ISNUMBER($D6)),$C6*$D6,"")</f>
        <v/>
      </c>
      <c r="G6" s="9">
        <f>IF(AND(ISNUMBER($C6),ISNUMBER($D6)),ROUND($C6*(1+$D6/30),1),"")</f>
        <v/>
      </c>
      <c r="H6" s="10">
        <f>IF($G6="","",IF(ROUND($C6*(1+$D6/30),1)=ROUND(SUMPRODUCT(MAX(($B$2:$B6=$B6)*N($C$2:$C6)*(1+N($D$2:$D6)/30))),1),"🏆 PR",""))</f>
        <v/>
      </c>
    </row>
    <row r="7">
      <c r="A7" s="7" t="n">
        <v>46240</v>
      </c>
      <c r="B7" s="8" t="inlineStr">
        <is>
          <t>Deadlift</t>
        </is>
      </c>
      <c r="C7" s="8" t="n">
        <v>120</v>
      </c>
      <c r="D7" s="8" t="n">
        <v>5</v>
      </c>
      <c r="E7" s="8" t="n">
        <v>8</v>
      </c>
      <c r="F7" s="9">
        <f>IF(AND(ISNUMBER($C7),ISNUMBER($D7)),$C7*$D7,"")</f>
        <v/>
      </c>
      <c r="G7" s="9">
        <f>IF(AND(ISNUMBER($C7),ISNUMBER($D7)),ROUND($C7*(1+$D7/30),1),"")</f>
        <v/>
      </c>
      <c r="H7" s="10">
        <f>IF($G7="","",IF(ROUND($C7*(1+$D7/30),1)=ROUND(SUMPRODUCT(MAX(($B$2:$B7=$B7)*N($C$2:$C7)*(1+N($D$2:$D7)/30))),1),"🏆 PR",""))</f>
        <v/>
      </c>
    </row>
    <row r="8">
      <c r="A8" s="7" t="n">
        <v>46245</v>
      </c>
      <c r="B8" s="8" t="inlineStr">
        <is>
          <t>Bench Press</t>
        </is>
      </c>
      <c r="C8" s="8" t="n">
        <v>62.5</v>
      </c>
      <c r="D8" s="8" t="n">
        <v>8</v>
      </c>
      <c r="E8" s="8" t="n">
        <v>8</v>
      </c>
      <c r="F8" s="9">
        <f>IF(AND(ISNUMBER($C8),ISNUMBER($D8)),$C8*$D8,"")</f>
        <v/>
      </c>
      <c r="G8" s="9">
        <f>IF(AND(ISNUMBER($C8),ISNUMBER($D8)),ROUND($C8*(1+$D8/30),1),"")</f>
        <v/>
      </c>
      <c r="H8" s="10">
        <f>IF($G8="","",IF(ROUND($C8*(1+$D8/30),1)=ROUND(SUMPRODUCT(MAX(($B$2:$B8=$B8)*N($C$2:$C8)*(1+N($D$2:$D8)/30))),1),"🏆 PR",""))</f>
        <v/>
      </c>
    </row>
    <row r="9">
      <c r="A9" s="7" t="n">
        <v>46245</v>
      </c>
      <c r="B9" s="8" t="inlineStr">
        <is>
          <t>Overhead Press</t>
        </is>
      </c>
      <c r="C9" s="8" t="n">
        <v>40</v>
      </c>
      <c r="D9" s="8" t="n">
        <v>7</v>
      </c>
      <c r="E9" s="8" t="n">
        <v>7</v>
      </c>
      <c r="F9" s="9">
        <f>IF(AND(ISNUMBER($C9),ISNUMBER($D9)),$C9*$D9,"")</f>
        <v/>
      </c>
      <c r="G9" s="9">
        <f>IF(AND(ISNUMBER($C9),ISNUMBER($D9)),ROUND($C9*(1+$D9/30),1),"")</f>
        <v/>
      </c>
      <c r="H9" s="10">
        <f>IF($G9="","",IF(ROUND($C9*(1+$D9/30),1)=ROUND(SUMPRODUCT(MAX(($B$2:$B9=$B9)*N($C$2:$C9)*(1+N($D$2:$D9)/30))),1),"🏆 PR",""))</f>
        <v/>
      </c>
    </row>
    <row r="10">
      <c r="A10" s="7" t="n">
        <v>46246</v>
      </c>
      <c r="B10" s="8" t="inlineStr">
        <is>
          <t>Squat</t>
        </is>
      </c>
      <c r="C10" s="8" t="n">
        <v>90</v>
      </c>
      <c r="D10" s="8" t="n">
        <v>8</v>
      </c>
      <c r="E10" s="8" t="n">
        <v>7</v>
      </c>
      <c r="F10" s="9">
        <f>IF(AND(ISNUMBER($C10),ISNUMBER($D10)),$C10*$D10,"")</f>
        <v/>
      </c>
      <c r="G10" s="9">
        <f>IF(AND(ISNUMBER($C10),ISNUMBER($D10)),ROUND($C10*(1+$D10/30),1),"")</f>
        <v/>
      </c>
      <c r="H10" s="10">
        <f>IF($G10="","",IF(ROUND($C10*(1+$D10/30),1)=ROUND(SUMPRODUCT(MAX(($B$2:$B10=$B10)*N($C$2:$C10)*(1+N($D$2:$D10)/30))),1),"🏆 PR",""))</f>
        <v/>
      </c>
    </row>
    <row r="11">
      <c r="A11" s="7" t="n">
        <v>46246</v>
      </c>
      <c r="B11" s="8" t="inlineStr">
        <is>
          <t>Squat</t>
        </is>
      </c>
      <c r="C11" s="8" t="n">
        <v>100</v>
      </c>
      <c r="D11" s="8" t="n">
        <v>6</v>
      </c>
      <c r="E11" s="8" t="n">
        <v>8</v>
      </c>
      <c r="F11" s="9">
        <f>IF(AND(ISNUMBER($C11),ISNUMBER($D11)),$C11*$D11,"")</f>
        <v/>
      </c>
      <c r="G11" s="9">
        <f>IF(AND(ISNUMBER($C11),ISNUMBER($D11)),ROUND($C11*(1+$D11/30),1),"")</f>
        <v/>
      </c>
      <c r="H11" s="10">
        <f>IF($G11="","",IF(ROUND($C11*(1+$D11/30),1)=ROUND(SUMPRODUCT(MAX(($B$2:$B11=$B11)*N($C$2:$C11)*(1+N($D$2:$D11)/30))),1),"🏆 PR",""))</f>
        <v/>
      </c>
    </row>
    <row r="12">
      <c r="A12" s="7" t="n">
        <v>46246</v>
      </c>
      <c r="B12" s="8" t="inlineStr">
        <is>
          <t>Barbell Row</t>
        </is>
      </c>
      <c r="C12" s="8" t="n">
        <v>72.5</v>
      </c>
      <c r="D12" s="8" t="n">
        <v>8</v>
      </c>
      <c r="E12" s="8" t="n">
        <v>8</v>
      </c>
      <c r="F12" s="9">
        <f>IF(AND(ISNUMBER($C12),ISNUMBER($D12)),$C12*$D12,"")</f>
        <v/>
      </c>
      <c r="G12" s="9">
        <f>IF(AND(ISNUMBER($C12),ISNUMBER($D12)),ROUND($C12*(1+$D12/30),1),"")</f>
        <v/>
      </c>
      <c r="H12" s="10">
        <f>IF($G12="","",IF(ROUND($C12*(1+$D12/30),1)=ROUND(SUMPRODUCT(MAX(($B$2:$B12=$B12)*N($C$2:$C12)*(1+N($D$2:$D12)/30))),1),"🏆 PR",""))</f>
        <v/>
      </c>
    </row>
    <row r="13">
      <c r="A13" s="7" t="n">
        <v>46247</v>
      </c>
      <c r="B13" s="8" t="inlineStr">
        <is>
          <t>Deadlift</t>
        </is>
      </c>
      <c r="C13" s="8" t="n">
        <v>125</v>
      </c>
      <c r="D13" s="8" t="n">
        <v>5</v>
      </c>
      <c r="E13" s="8" t="n">
        <v>8</v>
      </c>
      <c r="F13" s="9">
        <f>IF(AND(ISNUMBER($C13),ISNUMBER($D13)),$C13*$D13,"")</f>
        <v/>
      </c>
      <c r="G13" s="9">
        <f>IF(AND(ISNUMBER($C13),ISNUMBER($D13)),ROUND($C13*(1+$D13/30),1),"")</f>
        <v/>
      </c>
      <c r="H13" s="10">
        <f>IF($G13="","",IF(ROUND($C13*(1+$D13/30),1)=ROUND(SUMPRODUCT(MAX(($B$2:$B13=$B13)*N($C$2:$C13)*(1+N($D$2:$D13)/30))),1),"🏆 PR",""))</f>
        <v/>
      </c>
    </row>
    <row r="14">
      <c r="A14" s="7" t="n">
        <v>46248</v>
      </c>
      <c r="B14" s="8" t="inlineStr">
        <is>
          <t>Bench Press</t>
        </is>
      </c>
      <c r="C14" s="8" t="n">
        <v>62.5</v>
      </c>
      <c r="D14" s="8" t="n">
        <v>9</v>
      </c>
      <c r="E14" s="8" t="n">
        <v>9</v>
      </c>
      <c r="F14" s="9">
        <f>IF(AND(ISNUMBER($C14),ISNUMBER($D14)),$C14*$D14,"")</f>
        <v/>
      </c>
      <c r="G14" s="9">
        <f>IF(AND(ISNUMBER($C14),ISNUMBER($D14)),ROUND($C14*(1+$D14/30),1),"")</f>
        <v/>
      </c>
      <c r="H14" s="10">
        <f>IF($G14="","",IF(ROUND($C14*(1+$D14/30),1)=ROUND(SUMPRODUCT(MAX(($B$2:$B14=$B14)*N($C$2:$C14)*(1+N($D$2:$D14)/30))),1),"🏆 PR",""))</f>
        <v/>
      </c>
    </row>
    <row r="15">
      <c r="A15" s="7" t="n"/>
      <c r="B15" s="8" t="n"/>
      <c r="C15" s="8" t="n"/>
      <c r="D15" s="8" t="n"/>
      <c r="E15" s="8" t="n"/>
      <c r="F15" s="9">
        <f>IF(AND(ISNUMBER($C15),ISNUMBER($D15)),$C15*$D15,"")</f>
        <v/>
      </c>
      <c r="G15" s="9">
        <f>IF(AND(ISNUMBER($C15),ISNUMBER($D15)),ROUND($C15*(1+$D15/30),1),"")</f>
        <v/>
      </c>
      <c r="H15" s="10">
        <f>IF($G15="","",IF(ROUND($C15*(1+$D15/30),1)=ROUND(SUMPRODUCT(MAX(($B$2:$B15=$B15)*N($C$2:$C15)*(1+N($D$2:$D15)/30))),1),"🏆 PR",""))</f>
        <v/>
      </c>
    </row>
    <row r="16">
      <c r="A16" s="7" t="n"/>
      <c r="B16" s="8" t="n"/>
      <c r="C16" s="8" t="n"/>
      <c r="D16" s="8" t="n"/>
      <c r="E16" s="8" t="n"/>
      <c r="F16" s="9">
        <f>IF(AND(ISNUMBER($C16),ISNUMBER($D16)),$C16*$D16,"")</f>
        <v/>
      </c>
      <c r="G16" s="9">
        <f>IF(AND(ISNUMBER($C16),ISNUMBER($D16)),ROUND($C16*(1+$D16/30),1),"")</f>
        <v/>
      </c>
      <c r="H16" s="10">
        <f>IF($G16="","",IF(ROUND($C16*(1+$D16/30),1)=ROUND(SUMPRODUCT(MAX(($B$2:$B16=$B16)*N($C$2:$C16)*(1+N($D$2:$D16)/30))),1),"🏆 PR",""))</f>
        <v/>
      </c>
    </row>
    <row r="17">
      <c r="A17" s="7" t="n"/>
      <c r="B17" s="8" t="n"/>
      <c r="C17" s="8" t="n"/>
      <c r="D17" s="8" t="n"/>
      <c r="E17" s="8" t="n"/>
      <c r="F17" s="9">
        <f>IF(AND(ISNUMBER($C17),ISNUMBER($D17)),$C17*$D17,"")</f>
        <v/>
      </c>
      <c r="G17" s="9">
        <f>IF(AND(ISNUMBER($C17),ISNUMBER($D17)),ROUND($C17*(1+$D17/30),1),"")</f>
        <v/>
      </c>
      <c r="H17" s="10">
        <f>IF($G17="","",IF(ROUND($C17*(1+$D17/30),1)=ROUND(SUMPRODUCT(MAX(($B$2:$B17=$B17)*N($C$2:$C17)*(1+N($D$2:$D17)/30))),1),"🏆 PR",""))</f>
        <v/>
      </c>
    </row>
    <row r="18">
      <c r="A18" s="7" t="n"/>
      <c r="B18" s="8" t="n"/>
      <c r="C18" s="8" t="n"/>
      <c r="D18" s="8" t="n"/>
      <c r="E18" s="8" t="n"/>
      <c r="F18" s="9">
        <f>IF(AND(ISNUMBER($C18),ISNUMBER($D18)),$C18*$D18,"")</f>
        <v/>
      </c>
      <c r="G18" s="9">
        <f>IF(AND(ISNUMBER($C18),ISNUMBER($D18)),ROUND($C18*(1+$D18/30),1),"")</f>
        <v/>
      </c>
      <c r="H18" s="10">
        <f>IF($G18="","",IF(ROUND($C18*(1+$D18/30),1)=ROUND(SUMPRODUCT(MAX(($B$2:$B18=$B18)*N($C$2:$C18)*(1+N($D$2:$D18)/30))),1),"🏆 PR",""))</f>
        <v/>
      </c>
    </row>
    <row r="19">
      <c r="A19" s="7" t="n"/>
      <c r="B19" s="8" t="n"/>
      <c r="C19" s="8" t="n"/>
      <c r="D19" s="8" t="n"/>
      <c r="E19" s="8" t="n"/>
      <c r="F19" s="9">
        <f>IF(AND(ISNUMBER($C19),ISNUMBER($D19)),$C19*$D19,"")</f>
        <v/>
      </c>
      <c r="G19" s="9">
        <f>IF(AND(ISNUMBER($C19),ISNUMBER($D19)),ROUND($C19*(1+$D19/30),1),"")</f>
        <v/>
      </c>
      <c r="H19" s="10">
        <f>IF($G19="","",IF(ROUND($C19*(1+$D19/30),1)=ROUND(SUMPRODUCT(MAX(($B$2:$B19=$B19)*N($C$2:$C19)*(1+N($D$2:$D19)/30))),1),"🏆 PR",""))</f>
        <v/>
      </c>
    </row>
    <row r="20">
      <c r="A20" s="7" t="n"/>
      <c r="B20" s="8" t="n"/>
      <c r="C20" s="8" t="n"/>
      <c r="D20" s="8" t="n"/>
      <c r="E20" s="8" t="n"/>
      <c r="F20" s="9">
        <f>IF(AND(ISNUMBER($C20),ISNUMBER($D20)),$C20*$D20,"")</f>
        <v/>
      </c>
      <c r="G20" s="9">
        <f>IF(AND(ISNUMBER($C20),ISNUMBER($D20)),ROUND($C20*(1+$D20/30),1),"")</f>
        <v/>
      </c>
      <c r="H20" s="10">
        <f>IF($G20="","",IF(ROUND($C20*(1+$D20/30),1)=ROUND(SUMPRODUCT(MAX(($B$2:$B20=$B20)*N($C$2:$C20)*(1+N($D$2:$D20)/30))),1),"🏆 PR",""))</f>
        <v/>
      </c>
    </row>
    <row r="21">
      <c r="A21" s="7" t="n"/>
      <c r="B21" s="8" t="n"/>
      <c r="C21" s="8" t="n"/>
      <c r="D21" s="8" t="n"/>
      <c r="E21" s="8" t="n"/>
      <c r="F21" s="9">
        <f>IF(AND(ISNUMBER($C21),ISNUMBER($D21)),$C21*$D21,"")</f>
        <v/>
      </c>
      <c r="G21" s="9">
        <f>IF(AND(ISNUMBER($C21),ISNUMBER($D21)),ROUND($C21*(1+$D21/30),1),"")</f>
        <v/>
      </c>
      <c r="H21" s="10">
        <f>IF($G21="","",IF(ROUND($C21*(1+$D21/30),1)=ROUND(SUMPRODUCT(MAX(($B$2:$B21=$B21)*N($C$2:$C21)*(1+N($D$2:$D21)/30))),1),"🏆 PR",""))</f>
        <v/>
      </c>
    </row>
    <row r="22">
      <c r="A22" s="7" t="n"/>
      <c r="B22" s="8" t="n"/>
      <c r="C22" s="8" t="n"/>
      <c r="D22" s="8" t="n"/>
      <c r="E22" s="8" t="n"/>
      <c r="F22" s="9">
        <f>IF(AND(ISNUMBER($C22),ISNUMBER($D22)),$C22*$D22,"")</f>
        <v/>
      </c>
      <c r="G22" s="9">
        <f>IF(AND(ISNUMBER($C22),ISNUMBER($D22)),ROUND($C22*(1+$D22/30),1),"")</f>
        <v/>
      </c>
      <c r="H22" s="10">
        <f>IF($G22="","",IF(ROUND($C22*(1+$D22/30),1)=ROUND(SUMPRODUCT(MAX(($B$2:$B22=$B22)*N($C$2:$C22)*(1+N($D$2:$D22)/30))),1),"🏆 PR",""))</f>
        <v/>
      </c>
    </row>
    <row r="23">
      <c r="A23" s="7" t="n"/>
      <c r="B23" s="8" t="n"/>
      <c r="C23" s="8" t="n"/>
      <c r="D23" s="8" t="n"/>
      <c r="E23" s="8" t="n"/>
      <c r="F23" s="9">
        <f>IF(AND(ISNUMBER($C23),ISNUMBER($D23)),$C23*$D23,"")</f>
        <v/>
      </c>
      <c r="G23" s="9">
        <f>IF(AND(ISNUMBER($C23),ISNUMBER($D23)),ROUND($C23*(1+$D23/30),1),"")</f>
        <v/>
      </c>
      <c r="H23" s="10">
        <f>IF($G23="","",IF(ROUND($C23*(1+$D23/30),1)=ROUND(SUMPRODUCT(MAX(($B$2:$B23=$B23)*N($C$2:$C23)*(1+N($D$2:$D23)/30))),1),"🏆 PR",""))</f>
        <v/>
      </c>
    </row>
    <row r="24">
      <c r="A24" s="7" t="n"/>
      <c r="B24" s="8" t="n"/>
      <c r="C24" s="8" t="n"/>
      <c r="D24" s="8" t="n"/>
      <c r="E24" s="8" t="n"/>
      <c r="F24" s="9">
        <f>IF(AND(ISNUMBER($C24),ISNUMBER($D24)),$C24*$D24,"")</f>
        <v/>
      </c>
      <c r="G24" s="9">
        <f>IF(AND(ISNUMBER($C24),ISNUMBER($D24)),ROUND($C24*(1+$D24/30),1),"")</f>
        <v/>
      </c>
      <c r="H24" s="10">
        <f>IF($G24="","",IF(ROUND($C24*(1+$D24/30),1)=ROUND(SUMPRODUCT(MAX(($B$2:$B24=$B24)*N($C$2:$C24)*(1+N($D$2:$D24)/30))),1),"🏆 PR",""))</f>
        <v/>
      </c>
    </row>
    <row r="25">
      <c r="A25" s="7" t="n"/>
      <c r="B25" s="8" t="n"/>
      <c r="C25" s="8" t="n"/>
      <c r="D25" s="8" t="n"/>
      <c r="E25" s="8" t="n"/>
      <c r="F25" s="9">
        <f>IF(AND(ISNUMBER($C25),ISNUMBER($D25)),$C25*$D25,"")</f>
        <v/>
      </c>
      <c r="G25" s="9">
        <f>IF(AND(ISNUMBER($C25),ISNUMBER($D25)),ROUND($C25*(1+$D25/30),1),"")</f>
        <v/>
      </c>
      <c r="H25" s="10">
        <f>IF($G25="","",IF(ROUND($C25*(1+$D25/30),1)=ROUND(SUMPRODUCT(MAX(($B$2:$B25=$B25)*N($C$2:$C25)*(1+N($D$2:$D25)/30))),1),"🏆 PR",""))</f>
        <v/>
      </c>
    </row>
    <row r="26">
      <c r="A26" s="7" t="n"/>
      <c r="B26" s="8" t="n"/>
      <c r="C26" s="8" t="n"/>
      <c r="D26" s="8" t="n"/>
      <c r="E26" s="8" t="n"/>
      <c r="F26" s="9">
        <f>IF(AND(ISNUMBER($C26),ISNUMBER($D26)),$C26*$D26,"")</f>
        <v/>
      </c>
      <c r="G26" s="9">
        <f>IF(AND(ISNUMBER($C26),ISNUMBER($D26)),ROUND($C26*(1+$D26/30),1),"")</f>
        <v/>
      </c>
      <c r="H26" s="10">
        <f>IF($G26="","",IF(ROUND($C26*(1+$D26/30),1)=ROUND(SUMPRODUCT(MAX(($B$2:$B26=$B26)*N($C$2:$C26)*(1+N($D$2:$D26)/30))),1),"🏆 PR",""))</f>
        <v/>
      </c>
    </row>
    <row r="27">
      <c r="A27" s="7" t="n"/>
      <c r="B27" s="8" t="n"/>
      <c r="C27" s="8" t="n"/>
      <c r="D27" s="8" t="n"/>
      <c r="E27" s="8" t="n"/>
      <c r="F27" s="9">
        <f>IF(AND(ISNUMBER($C27),ISNUMBER($D27)),$C27*$D27,"")</f>
        <v/>
      </c>
      <c r="G27" s="9">
        <f>IF(AND(ISNUMBER($C27),ISNUMBER($D27)),ROUND($C27*(1+$D27/30),1),"")</f>
        <v/>
      </c>
      <c r="H27" s="10">
        <f>IF($G27="","",IF(ROUND($C27*(1+$D27/30),1)=ROUND(SUMPRODUCT(MAX(($B$2:$B27=$B27)*N($C$2:$C27)*(1+N($D$2:$D27)/30))),1),"🏆 PR",""))</f>
        <v/>
      </c>
    </row>
    <row r="28">
      <c r="A28" s="7" t="n"/>
      <c r="B28" s="8" t="n"/>
      <c r="C28" s="8" t="n"/>
      <c r="D28" s="8" t="n"/>
      <c r="E28" s="8" t="n"/>
      <c r="F28" s="9">
        <f>IF(AND(ISNUMBER($C28),ISNUMBER($D28)),$C28*$D28,"")</f>
        <v/>
      </c>
      <c r="G28" s="9">
        <f>IF(AND(ISNUMBER($C28),ISNUMBER($D28)),ROUND($C28*(1+$D28/30),1),"")</f>
        <v/>
      </c>
      <c r="H28" s="10">
        <f>IF($G28="","",IF(ROUND($C28*(1+$D28/30),1)=ROUND(SUMPRODUCT(MAX(($B$2:$B28=$B28)*N($C$2:$C28)*(1+N($D$2:$D28)/30))),1),"🏆 PR",""))</f>
        <v/>
      </c>
    </row>
    <row r="29">
      <c r="A29" s="7" t="n"/>
      <c r="B29" s="8" t="n"/>
      <c r="C29" s="8" t="n"/>
      <c r="D29" s="8" t="n"/>
      <c r="E29" s="8" t="n"/>
      <c r="F29" s="9">
        <f>IF(AND(ISNUMBER($C29),ISNUMBER($D29)),$C29*$D29,"")</f>
        <v/>
      </c>
      <c r="G29" s="9">
        <f>IF(AND(ISNUMBER($C29),ISNUMBER($D29)),ROUND($C29*(1+$D29/30),1),"")</f>
        <v/>
      </c>
      <c r="H29" s="10">
        <f>IF($G29="","",IF(ROUND($C29*(1+$D29/30),1)=ROUND(SUMPRODUCT(MAX(($B$2:$B29=$B29)*N($C$2:$C29)*(1+N($D$2:$D29)/30))),1),"🏆 PR",""))</f>
        <v/>
      </c>
    </row>
    <row r="30">
      <c r="A30" s="7" t="n"/>
      <c r="B30" s="8" t="n"/>
      <c r="C30" s="8" t="n"/>
      <c r="D30" s="8" t="n"/>
      <c r="E30" s="8" t="n"/>
      <c r="F30" s="9">
        <f>IF(AND(ISNUMBER($C30),ISNUMBER($D30)),$C30*$D30,"")</f>
        <v/>
      </c>
      <c r="G30" s="9">
        <f>IF(AND(ISNUMBER($C30),ISNUMBER($D30)),ROUND($C30*(1+$D30/30),1),"")</f>
        <v/>
      </c>
      <c r="H30" s="10">
        <f>IF($G30="","",IF(ROUND($C30*(1+$D30/30),1)=ROUND(SUMPRODUCT(MAX(($B$2:$B30=$B30)*N($C$2:$C30)*(1+N($D$2:$D30)/30))),1),"🏆 PR",""))</f>
        <v/>
      </c>
    </row>
    <row r="31">
      <c r="A31" s="7" t="n"/>
      <c r="B31" s="8" t="n"/>
      <c r="C31" s="8" t="n"/>
      <c r="D31" s="8" t="n"/>
      <c r="E31" s="8" t="n"/>
      <c r="F31" s="9">
        <f>IF(AND(ISNUMBER($C31),ISNUMBER($D31)),$C31*$D31,"")</f>
        <v/>
      </c>
      <c r="G31" s="9">
        <f>IF(AND(ISNUMBER($C31),ISNUMBER($D31)),ROUND($C31*(1+$D31/30),1),"")</f>
        <v/>
      </c>
      <c r="H31" s="10">
        <f>IF($G31="","",IF(ROUND($C31*(1+$D31/30),1)=ROUND(SUMPRODUCT(MAX(($B$2:$B31=$B31)*N($C$2:$C31)*(1+N($D$2:$D31)/30))),1),"🏆 PR",""))</f>
        <v/>
      </c>
    </row>
    <row r="32">
      <c r="A32" s="7" t="n"/>
      <c r="B32" s="8" t="n"/>
      <c r="C32" s="8" t="n"/>
      <c r="D32" s="8" t="n"/>
      <c r="E32" s="8" t="n"/>
      <c r="F32" s="9">
        <f>IF(AND(ISNUMBER($C32),ISNUMBER($D32)),$C32*$D32,"")</f>
        <v/>
      </c>
      <c r="G32" s="9">
        <f>IF(AND(ISNUMBER($C32),ISNUMBER($D32)),ROUND($C32*(1+$D32/30),1),"")</f>
        <v/>
      </c>
      <c r="H32" s="10">
        <f>IF($G32="","",IF(ROUND($C32*(1+$D32/30),1)=ROUND(SUMPRODUCT(MAX(($B$2:$B32=$B32)*N($C$2:$C32)*(1+N($D$2:$D32)/30))),1),"🏆 PR",""))</f>
        <v/>
      </c>
    </row>
    <row r="33">
      <c r="A33" s="7" t="n"/>
      <c r="B33" s="8" t="n"/>
      <c r="C33" s="8" t="n"/>
      <c r="D33" s="8" t="n"/>
      <c r="E33" s="8" t="n"/>
      <c r="F33" s="9">
        <f>IF(AND(ISNUMBER($C33),ISNUMBER($D33)),$C33*$D33,"")</f>
        <v/>
      </c>
      <c r="G33" s="9">
        <f>IF(AND(ISNUMBER($C33),ISNUMBER($D33)),ROUND($C33*(1+$D33/30),1),"")</f>
        <v/>
      </c>
      <c r="H33" s="10">
        <f>IF($G33="","",IF(ROUND($C33*(1+$D33/30),1)=ROUND(SUMPRODUCT(MAX(($B$2:$B33=$B33)*N($C$2:$C33)*(1+N($D$2:$D33)/30))),1),"🏆 PR",""))</f>
        <v/>
      </c>
    </row>
    <row r="34">
      <c r="A34" s="7" t="n"/>
      <c r="B34" s="8" t="n"/>
      <c r="C34" s="8" t="n"/>
      <c r="D34" s="8" t="n"/>
      <c r="E34" s="8" t="n"/>
      <c r="F34" s="9">
        <f>IF(AND(ISNUMBER($C34),ISNUMBER($D34)),$C34*$D34,"")</f>
        <v/>
      </c>
      <c r="G34" s="9">
        <f>IF(AND(ISNUMBER($C34),ISNUMBER($D34)),ROUND($C34*(1+$D34/30),1),"")</f>
        <v/>
      </c>
      <c r="H34" s="10">
        <f>IF($G34="","",IF(ROUND($C34*(1+$D34/30),1)=ROUND(SUMPRODUCT(MAX(($B$2:$B34=$B34)*N($C$2:$C34)*(1+N($D$2:$D34)/30))),1),"🏆 PR",""))</f>
        <v/>
      </c>
    </row>
    <row r="35">
      <c r="A35" s="7" t="n"/>
      <c r="B35" s="8" t="n"/>
      <c r="C35" s="8" t="n"/>
      <c r="D35" s="8" t="n"/>
      <c r="E35" s="8" t="n"/>
      <c r="F35" s="9">
        <f>IF(AND(ISNUMBER($C35),ISNUMBER($D35)),$C35*$D35,"")</f>
        <v/>
      </c>
      <c r="G35" s="9">
        <f>IF(AND(ISNUMBER($C35),ISNUMBER($D35)),ROUND($C35*(1+$D35/30),1),"")</f>
        <v/>
      </c>
      <c r="H35" s="10">
        <f>IF($G35="","",IF(ROUND($C35*(1+$D35/30),1)=ROUND(SUMPRODUCT(MAX(($B$2:$B35=$B35)*N($C$2:$C35)*(1+N($D$2:$D35)/30))),1),"🏆 PR",""))</f>
        <v/>
      </c>
    </row>
    <row r="36">
      <c r="A36" s="7" t="n"/>
      <c r="B36" s="8" t="n"/>
      <c r="C36" s="8" t="n"/>
      <c r="D36" s="8" t="n"/>
      <c r="E36" s="8" t="n"/>
      <c r="F36" s="9">
        <f>IF(AND(ISNUMBER($C36),ISNUMBER($D36)),$C36*$D36,"")</f>
        <v/>
      </c>
      <c r="G36" s="9">
        <f>IF(AND(ISNUMBER($C36),ISNUMBER($D36)),ROUND($C36*(1+$D36/30),1),"")</f>
        <v/>
      </c>
      <c r="H36" s="10">
        <f>IF($G36="","",IF(ROUND($C36*(1+$D36/30),1)=ROUND(SUMPRODUCT(MAX(($B$2:$B36=$B36)*N($C$2:$C36)*(1+N($D$2:$D36)/30))),1),"🏆 PR",""))</f>
        <v/>
      </c>
    </row>
    <row r="37">
      <c r="A37" s="7" t="n"/>
      <c r="B37" s="8" t="n"/>
      <c r="C37" s="8" t="n"/>
      <c r="D37" s="8" t="n"/>
      <c r="E37" s="8" t="n"/>
      <c r="F37" s="9">
        <f>IF(AND(ISNUMBER($C37),ISNUMBER($D37)),$C37*$D37,"")</f>
        <v/>
      </c>
      <c r="G37" s="9">
        <f>IF(AND(ISNUMBER($C37),ISNUMBER($D37)),ROUND($C37*(1+$D37/30),1),"")</f>
        <v/>
      </c>
      <c r="H37" s="10">
        <f>IF($G37="","",IF(ROUND($C37*(1+$D37/30),1)=ROUND(SUMPRODUCT(MAX(($B$2:$B37=$B37)*N($C$2:$C37)*(1+N($D$2:$D37)/30))),1),"🏆 PR",""))</f>
        <v/>
      </c>
    </row>
    <row r="38">
      <c r="A38" s="7" t="n"/>
      <c r="B38" s="8" t="n"/>
      <c r="C38" s="8" t="n"/>
      <c r="D38" s="8" t="n"/>
      <c r="E38" s="8" t="n"/>
      <c r="F38" s="9">
        <f>IF(AND(ISNUMBER($C38),ISNUMBER($D38)),$C38*$D38,"")</f>
        <v/>
      </c>
      <c r="G38" s="9">
        <f>IF(AND(ISNUMBER($C38),ISNUMBER($D38)),ROUND($C38*(1+$D38/30),1),"")</f>
        <v/>
      </c>
      <c r="H38" s="10">
        <f>IF($G38="","",IF(ROUND($C38*(1+$D38/30),1)=ROUND(SUMPRODUCT(MAX(($B$2:$B38=$B38)*N($C$2:$C38)*(1+N($D$2:$D38)/30))),1),"🏆 PR",""))</f>
        <v/>
      </c>
    </row>
    <row r="39">
      <c r="A39" s="7" t="n"/>
      <c r="B39" s="8" t="n"/>
      <c r="C39" s="8" t="n"/>
      <c r="D39" s="8" t="n"/>
      <c r="E39" s="8" t="n"/>
      <c r="F39" s="9">
        <f>IF(AND(ISNUMBER($C39),ISNUMBER($D39)),$C39*$D39,"")</f>
        <v/>
      </c>
      <c r="G39" s="9">
        <f>IF(AND(ISNUMBER($C39),ISNUMBER($D39)),ROUND($C39*(1+$D39/30),1),"")</f>
        <v/>
      </c>
      <c r="H39" s="10">
        <f>IF($G39="","",IF(ROUND($C39*(1+$D39/30),1)=ROUND(SUMPRODUCT(MAX(($B$2:$B39=$B39)*N($C$2:$C39)*(1+N($D$2:$D39)/30))),1),"🏆 PR",""))</f>
        <v/>
      </c>
    </row>
    <row r="40">
      <c r="A40" s="7" t="n"/>
      <c r="B40" s="8" t="n"/>
      <c r="C40" s="8" t="n"/>
      <c r="D40" s="8" t="n"/>
      <c r="E40" s="8" t="n"/>
      <c r="F40" s="9">
        <f>IF(AND(ISNUMBER($C40),ISNUMBER($D40)),$C40*$D40,"")</f>
        <v/>
      </c>
      <c r="G40" s="9">
        <f>IF(AND(ISNUMBER($C40),ISNUMBER($D40)),ROUND($C40*(1+$D40/30),1),"")</f>
        <v/>
      </c>
      <c r="H40" s="10">
        <f>IF($G40="","",IF(ROUND($C40*(1+$D40/30),1)=ROUND(SUMPRODUCT(MAX(($B$2:$B40=$B40)*N($C$2:$C40)*(1+N($D$2:$D40)/30))),1),"🏆 PR",""))</f>
        <v/>
      </c>
    </row>
    <row r="41">
      <c r="A41" s="7" t="n"/>
      <c r="B41" s="8" t="n"/>
      <c r="C41" s="8" t="n"/>
      <c r="D41" s="8" t="n"/>
      <c r="E41" s="8" t="n"/>
      <c r="F41" s="9">
        <f>IF(AND(ISNUMBER($C41),ISNUMBER($D41)),$C41*$D41,"")</f>
        <v/>
      </c>
      <c r="G41" s="9">
        <f>IF(AND(ISNUMBER($C41),ISNUMBER($D41)),ROUND($C41*(1+$D41/30),1),"")</f>
        <v/>
      </c>
      <c r="H41" s="10">
        <f>IF($G41="","",IF(ROUND($C41*(1+$D41/30),1)=ROUND(SUMPRODUCT(MAX(($B$2:$B41=$B41)*N($C$2:$C41)*(1+N($D$2:$D41)/30))),1),"🏆 PR",""))</f>
        <v/>
      </c>
    </row>
    <row r="42">
      <c r="A42" s="7" t="n"/>
      <c r="B42" s="8" t="n"/>
      <c r="C42" s="8" t="n"/>
      <c r="D42" s="8" t="n"/>
      <c r="E42" s="8" t="n"/>
      <c r="F42" s="9">
        <f>IF(AND(ISNUMBER($C42),ISNUMBER($D42)),$C42*$D42,"")</f>
        <v/>
      </c>
      <c r="G42" s="9">
        <f>IF(AND(ISNUMBER($C42),ISNUMBER($D42)),ROUND($C42*(1+$D42/30),1),"")</f>
        <v/>
      </c>
      <c r="H42" s="10">
        <f>IF($G42="","",IF(ROUND($C42*(1+$D42/30),1)=ROUND(SUMPRODUCT(MAX(($B$2:$B42=$B42)*N($C$2:$C42)*(1+N($D$2:$D42)/30))),1),"🏆 PR",""))</f>
        <v/>
      </c>
    </row>
    <row r="43">
      <c r="A43" s="7" t="n"/>
      <c r="B43" s="8" t="n"/>
      <c r="C43" s="8" t="n"/>
      <c r="D43" s="8" t="n"/>
      <c r="E43" s="8" t="n"/>
      <c r="F43" s="9">
        <f>IF(AND(ISNUMBER($C43),ISNUMBER($D43)),$C43*$D43,"")</f>
        <v/>
      </c>
      <c r="G43" s="9">
        <f>IF(AND(ISNUMBER($C43),ISNUMBER($D43)),ROUND($C43*(1+$D43/30),1),"")</f>
        <v/>
      </c>
      <c r="H43" s="10">
        <f>IF($G43="","",IF(ROUND($C43*(1+$D43/30),1)=ROUND(SUMPRODUCT(MAX(($B$2:$B43=$B43)*N($C$2:$C43)*(1+N($D$2:$D43)/30))),1),"🏆 PR",""))</f>
        <v/>
      </c>
    </row>
    <row r="44">
      <c r="A44" s="7" t="n"/>
      <c r="B44" s="8" t="n"/>
      <c r="C44" s="8" t="n"/>
      <c r="D44" s="8" t="n"/>
      <c r="E44" s="8" t="n"/>
      <c r="F44" s="9">
        <f>IF(AND(ISNUMBER($C44),ISNUMBER($D44)),$C44*$D44,"")</f>
        <v/>
      </c>
      <c r="G44" s="9">
        <f>IF(AND(ISNUMBER($C44),ISNUMBER($D44)),ROUND($C44*(1+$D44/30),1),"")</f>
        <v/>
      </c>
      <c r="H44" s="10">
        <f>IF($G44="","",IF(ROUND($C44*(1+$D44/30),1)=ROUND(SUMPRODUCT(MAX(($B$2:$B44=$B44)*N($C$2:$C44)*(1+N($D$2:$D44)/30))),1),"🏆 PR",""))</f>
        <v/>
      </c>
    </row>
    <row r="45">
      <c r="A45" s="7" t="n"/>
      <c r="B45" s="8" t="n"/>
      <c r="C45" s="8" t="n"/>
      <c r="D45" s="8" t="n"/>
      <c r="E45" s="8" t="n"/>
      <c r="F45" s="9">
        <f>IF(AND(ISNUMBER($C45),ISNUMBER($D45)),$C45*$D45,"")</f>
        <v/>
      </c>
      <c r="G45" s="9">
        <f>IF(AND(ISNUMBER($C45),ISNUMBER($D45)),ROUND($C45*(1+$D45/30),1),"")</f>
        <v/>
      </c>
      <c r="H45" s="10">
        <f>IF($G45="","",IF(ROUND($C45*(1+$D45/30),1)=ROUND(SUMPRODUCT(MAX(($B$2:$B45=$B45)*N($C$2:$C45)*(1+N($D$2:$D45)/30))),1),"🏆 PR",""))</f>
        <v/>
      </c>
    </row>
    <row r="46">
      <c r="A46" s="7" t="n"/>
      <c r="B46" s="8" t="n"/>
      <c r="C46" s="8" t="n"/>
      <c r="D46" s="8" t="n"/>
      <c r="E46" s="8" t="n"/>
      <c r="F46" s="9">
        <f>IF(AND(ISNUMBER($C46),ISNUMBER($D46)),$C46*$D46,"")</f>
        <v/>
      </c>
      <c r="G46" s="9">
        <f>IF(AND(ISNUMBER($C46),ISNUMBER($D46)),ROUND($C46*(1+$D46/30),1),"")</f>
        <v/>
      </c>
      <c r="H46" s="10">
        <f>IF($G46="","",IF(ROUND($C46*(1+$D46/30),1)=ROUND(SUMPRODUCT(MAX(($B$2:$B46=$B46)*N($C$2:$C46)*(1+N($D$2:$D46)/30))),1),"🏆 PR",""))</f>
        <v/>
      </c>
    </row>
    <row r="47">
      <c r="A47" s="7" t="n"/>
      <c r="B47" s="8" t="n"/>
      <c r="C47" s="8" t="n"/>
      <c r="D47" s="8" t="n"/>
      <c r="E47" s="8" t="n"/>
      <c r="F47" s="9">
        <f>IF(AND(ISNUMBER($C47),ISNUMBER($D47)),$C47*$D47,"")</f>
        <v/>
      </c>
      <c r="G47" s="9">
        <f>IF(AND(ISNUMBER($C47),ISNUMBER($D47)),ROUND($C47*(1+$D47/30),1),"")</f>
        <v/>
      </c>
      <c r="H47" s="10">
        <f>IF($G47="","",IF(ROUND($C47*(1+$D47/30),1)=ROUND(SUMPRODUCT(MAX(($B$2:$B47=$B47)*N($C$2:$C47)*(1+N($D$2:$D47)/30))),1),"🏆 PR",""))</f>
        <v/>
      </c>
    </row>
    <row r="48">
      <c r="A48" s="7" t="n"/>
      <c r="B48" s="8" t="n"/>
      <c r="C48" s="8" t="n"/>
      <c r="D48" s="8" t="n"/>
      <c r="E48" s="8" t="n"/>
      <c r="F48" s="9">
        <f>IF(AND(ISNUMBER($C48),ISNUMBER($D48)),$C48*$D48,"")</f>
        <v/>
      </c>
      <c r="G48" s="9">
        <f>IF(AND(ISNUMBER($C48),ISNUMBER($D48)),ROUND($C48*(1+$D48/30),1),"")</f>
        <v/>
      </c>
      <c r="H48" s="10">
        <f>IF($G48="","",IF(ROUND($C48*(1+$D48/30),1)=ROUND(SUMPRODUCT(MAX(($B$2:$B48=$B48)*N($C$2:$C48)*(1+N($D$2:$D48)/30))),1),"🏆 PR",""))</f>
        <v/>
      </c>
    </row>
    <row r="49">
      <c r="A49" s="7" t="n"/>
      <c r="B49" s="8" t="n"/>
      <c r="C49" s="8" t="n"/>
      <c r="D49" s="8" t="n"/>
      <c r="E49" s="8" t="n"/>
      <c r="F49" s="9">
        <f>IF(AND(ISNUMBER($C49),ISNUMBER($D49)),$C49*$D49,"")</f>
        <v/>
      </c>
      <c r="G49" s="9">
        <f>IF(AND(ISNUMBER($C49),ISNUMBER($D49)),ROUND($C49*(1+$D49/30),1),"")</f>
        <v/>
      </c>
      <c r="H49" s="10">
        <f>IF($G49="","",IF(ROUND($C49*(1+$D49/30),1)=ROUND(SUMPRODUCT(MAX(($B$2:$B49=$B49)*N($C$2:$C49)*(1+N($D$2:$D49)/30))),1),"🏆 PR",""))</f>
        <v/>
      </c>
    </row>
    <row r="50">
      <c r="A50" s="7" t="n"/>
      <c r="B50" s="8" t="n"/>
      <c r="C50" s="8" t="n"/>
      <c r="D50" s="8" t="n"/>
      <c r="E50" s="8" t="n"/>
      <c r="F50" s="9">
        <f>IF(AND(ISNUMBER($C50),ISNUMBER($D50)),$C50*$D50,"")</f>
        <v/>
      </c>
      <c r="G50" s="9">
        <f>IF(AND(ISNUMBER($C50),ISNUMBER($D50)),ROUND($C50*(1+$D50/30),1),"")</f>
        <v/>
      </c>
      <c r="H50" s="10">
        <f>IF($G50="","",IF(ROUND($C50*(1+$D50/30),1)=ROUND(SUMPRODUCT(MAX(($B$2:$B50=$B50)*N($C$2:$C50)*(1+N($D$2:$D50)/30))),1),"🏆 PR",""))</f>
        <v/>
      </c>
    </row>
    <row r="51">
      <c r="A51" s="7" t="n"/>
      <c r="B51" s="8" t="n"/>
      <c r="C51" s="8" t="n"/>
      <c r="D51" s="8" t="n"/>
      <c r="E51" s="8" t="n"/>
      <c r="F51" s="9">
        <f>IF(AND(ISNUMBER($C51),ISNUMBER($D51)),$C51*$D51,"")</f>
        <v/>
      </c>
      <c r="G51" s="9">
        <f>IF(AND(ISNUMBER($C51),ISNUMBER($D51)),ROUND($C51*(1+$D51/30),1),"")</f>
        <v/>
      </c>
      <c r="H51" s="10">
        <f>IF($G51="","",IF(ROUND($C51*(1+$D51/30),1)=ROUND(SUMPRODUCT(MAX(($B$2:$B51=$B51)*N($C$2:$C51)*(1+N($D$2:$D51)/30))),1),"🏆 PR",""))</f>
        <v/>
      </c>
    </row>
    <row r="52">
      <c r="A52" s="7" t="n"/>
      <c r="B52" s="8" t="n"/>
      <c r="C52" s="8" t="n"/>
      <c r="D52" s="8" t="n"/>
      <c r="E52" s="8" t="n"/>
      <c r="F52" s="9">
        <f>IF(AND(ISNUMBER($C52),ISNUMBER($D52)),$C52*$D52,"")</f>
        <v/>
      </c>
      <c r="G52" s="9">
        <f>IF(AND(ISNUMBER($C52),ISNUMBER($D52)),ROUND($C52*(1+$D52/30),1),"")</f>
        <v/>
      </c>
      <c r="H52" s="10">
        <f>IF($G52="","",IF(ROUND($C52*(1+$D52/30),1)=ROUND(SUMPRODUCT(MAX(($B$2:$B52=$B52)*N($C$2:$C52)*(1+N($D$2:$D52)/30))),1),"🏆 PR",""))</f>
        <v/>
      </c>
    </row>
    <row r="53">
      <c r="A53" s="7" t="n"/>
      <c r="B53" s="8" t="n"/>
      <c r="C53" s="8" t="n"/>
      <c r="D53" s="8" t="n"/>
      <c r="E53" s="8" t="n"/>
      <c r="F53" s="9">
        <f>IF(AND(ISNUMBER($C53),ISNUMBER($D53)),$C53*$D53,"")</f>
        <v/>
      </c>
      <c r="G53" s="9">
        <f>IF(AND(ISNUMBER($C53),ISNUMBER($D53)),ROUND($C53*(1+$D53/30),1),"")</f>
        <v/>
      </c>
      <c r="H53" s="10">
        <f>IF($G53="","",IF(ROUND($C53*(1+$D53/30),1)=ROUND(SUMPRODUCT(MAX(($B$2:$B53=$B53)*N($C$2:$C53)*(1+N($D$2:$D53)/30))),1),"🏆 PR",""))</f>
        <v/>
      </c>
    </row>
    <row r="54">
      <c r="A54" s="7" t="n"/>
      <c r="B54" s="8" t="n"/>
      <c r="C54" s="8" t="n"/>
      <c r="D54" s="8" t="n"/>
      <c r="E54" s="8" t="n"/>
      <c r="F54" s="9">
        <f>IF(AND(ISNUMBER($C54),ISNUMBER($D54)),$C54*$D54,"")</f>
        <v/>
      </c>
      <c r="G54" s="9">
        <f>IF(AND(ISNUMBER($C54),ISNUMBER($D54)),ROUND($C54*(1+$D54/30),1),"")</f>
        <v/>
      </c>
      <c r="H54" s="10">
        <f>IF($G54="","",IF(ROUND($C54*(1+$D54/30),1)=ROUND(SUMPRODUCT(MAX(($B$2:$B54=$B54)*N($C$2:$C54)*(1+N($D$2:$D54)/30))),1),"🏆 PR",""))</f>
        <v/>
      </c>
    </row>
    <row r="55">
      <c r="A55" s="7" t="n"/>
      <c r="B55" s="8" t="n"/>
      <c r="C55" s="8" t="n"/>
      <c r="D55" s="8" t="n"/>
      <c r="E55" s="8" t="n"/>
      <c r="F55" s="9">
        <f>IF(AND(ISNUMBER($C55),ISNUMBER($D55)),$C55*$D55,"")</f>
        <v/>
      </c>
      <c r="G55" s="9">
        <f>IF(AND(ISNUMBER($C55),ISNUMBER($D55)),ROUND($C55*(1+$D55/30),1),"")</f>
        <v/>
      </c>
      <c r="H55" s="10">
        <f>IF($G55="","",IF(ROUND($C55*(1+$D55/30),1)=ROUND(SUMPRODUCT(MAX(($B$2:$B55=$B55)*N($C$2:$C55)*(1+N($D$2:$D55)/30))),1),"🏆 PR",""))</f>
        <v/>
      </c>
    </row>
    <row r="56">
      <c r="A56" s="7" t="n"/>
      <c r="B56" s="8" t="n"/>
      <c r="C56" s="8" t="n"/>
      <c r="D56" s="8" t="n"/>
      <c r="E56" s="8" t="n"/>
      <c r="F56" s="9">
        <f>IF(AND(ISNUMBER($C56),ISNUMBER($D56)),$C56*$D56,"")</f>
        <v/>
      </c>
      <c r="G56" s="9">
        <f>IF(AND(ISNUMBER($C56),ISNUMBER($D56)),ROUND($C56*(1+$D56/30),1),"")</f>
        <v/>
      </c>
      <c r="H56" s="10">
        <f>IF($G56="","",IF(ROUND($C56*(1+$D56/30),1)=ROUND(SUMPRODUCT(MAX(($B$2:$B56=$B56)*N($C$2:$C56)*(1+N($D$2:$D56)/30))),1),"🏆 PR",""))</f>
        <v/>
      </c>
    </row>
    <row r="57">
      <c r="A57" s="7" t="n"/>
      <c r="B57" s="8" t="n"/>
      <c r="C57" s="8" t="n"/>
      <c r="D57" s="8" t="n"/>
      <c r="E57" s="8" t="n"/>
      <c r="F57" s="9">
        <f>IF(AND(ISNUMBER($C57),ISNUMBER($D57)),$C57*$D57,"")</f>
        <v/>
      </c>
      <c r="G57" s="9">
        <f>IF(AND(ISNUMBER($C57),ISNUMBER($D57)),ROUND($C57*(1+$D57/30),1),"")</f>
        <v/>
      </c>
      <c r="H57" s="10">
        <f>IF($G57="","",IF(ROUND($C57*(1+$D57/30),1)=ROUND(SUMPRODUCT(MAX(($B$2:$B57=$B57)*N($C$2:$C57)*(1+N($D$2:$D57)/30))),1),"🏆 PR",""))</f>
        <v/>
      </c>
    </row>
    <row r="58">
      <c r="A58" s="7" t="n"/>
      <c r="B58" s="8" t="n"/>
      <c r="C58" s="8" t="n"/>
      <c r="D58" s="8" t="n"/>
      <c r="E58" s="8" t="n"/>
      <c r="F58" s="9">
        <f>IF(AND(ISNUMBER($C58),ISNUMBER($D58)),$C58*$D58,"")</f>
        <v/>
      </c>
      <c r="G58" s="9">
        <f>IF(AND(ISNUMBER($C58),ISNUMBER($D58)),ROUND($C58*(1+$D58/30),1),"")</f>
        <v/>
      </c>
      <c r="H58" s="10">
        <f>IF($G58="","",IF(ROUND($C58*(1+$D58/30),1)=ROUND(SUMPRODUCT(MAX(($B$2:$B58=$B58)*N($C$2:$C58)*(1+N($D$2:$D58)/30))),1),"🏆 PR",""))</f>
        <v/>
      </c>
    </row>
    <row r="59">
      <c r="A59" s="7" t="n"/>
      <c r="B59" s="8" t="n"/>
      <c r="C59" s="8" t="n"/>
      <c r="D59" s="8" t="n"/>
      <c r="E59" s="8" t="n"/>
      <c r="F59" s="9">
        <f>IF(AND(ISNUMBER($C59),ISNUMBER($D59)),$C59*$D59,"")</f>
        <v/>
      </c>
      <c r="G59" s="9">
        <f>IF(AND(ISNUMBER($C59),ISNUMBER($D59)),ROUND($C59*(1+$D59/30),1),"")</f>
        <v/>
      </c>
      <c r="H59" s="10">
        <f>IF($G59="","",IF(ROUND($C59*(1+$D59/30),1)=ROUND(SUMPRODUCT(MAX(($B$2:$B59=$B59)*N($C$2:$C59)*(1+N($D$2:$D59)/30))),1),"🏆 PR",""))</f>
        <v/>
      </c>
    </row>
    <row r="60">
      <c r="A60" s="7" t="n"/>
      <c r="B60" s="8" t="n"/>
      <c r="C60" s="8" t="n"/>
      <c r="D60" s="8" t="n"/>
      <c r="E60" s="8" t="n"/>
      <c r="F60" s="9">
        <f>IF(AND(ISNUMBER($C60),ISNUMBER($D60)),$C60*$D60,"")</f>
        <v/>
      </c>
      <c r="G60" s="9">
        <f>IF(AND(ISNUMBER($C60),ISNUMBER($D60)),ROUND($C60*(1+$D60/30),1),"")</f>
        <v/>
      </c>
      <c r="H60" s="10">
        <f>IF($G60="","",IF(ROUND($C60*(1+$D60/30),1)=ROUND(SUMPRODUCT(MAX(($B$2:$B60=$B60)*N($C$2:$C60)*(1+N($D$2:$D60)/30))),1),"🏆 PR",""))</f>
        <v/>
      </c>
    </row>
    <row r="61">
      <c r="A61" s="7" t="n"/>
      <c r="B61" s="8" t="n"/>
      <c r="C61" s="8" t="n"/>
      <c r="D61" s="8" t="n"/>
      <c r="E61" s="8" t="n"/>
      <c r="F61" s="9">
        <f>IF(AND(ISNUMBER($C61),ISNUMBER($D61)),$C61*$D61,"")</f>
        <v/>
      </c>
      <c r="G61" s="9">
        <f>IF(AND(ISNUMBER($C61),ISNUMBER($D61)),ROUND($C61*(1+$D61/30),1),"")</f>
        <v/>
      </c>
      <c r="H61" s="10">
        <f>IF($G61="","",IF(ROUND($C61*(1+$D61/30),1)=ROUND(SUMPRODUCT(MAX(($B$2:$B61=$B61)*N($C$2:$C61)*(1+N($D$2:$D61)/30))),1),"🏆 PR",""))</f>
        <v/>
      </c>
    </row>
  </sheetData>
  <dataValidations count="1">
    <dataValidation sqref="B2:B61" showDropDown="0" showInputMessage="0" showErrorMessage="0" allowBlank="1" type="list">
      <formula1>='Exercises'!$A$2:$A$26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5" customWidth="1" min="3" max="3"/>
    <col width="16" customWidth="1" min="4" max="4"/>
    <col width="12" customWidth="1" min="5" max="5"/>
    <col width="15" customWidth="1" min="6" max="6"/>
    <col width="20" customWidth="1" min="7" max="7"/>
  </cols>
  <sheetData>
    <row r="2">
      <c r="B2" s="1" t="inlineStr">
        <is>
          <t>PROGRESS DASHBOARD</t>
        </is>
      </c>
    </row>
    <row r="3">
      <c r="B3" s="2" t="inlineStr">
        <is>
          <t>Best lifts, total work, and your next target — updates as you log.</t>
        </is>
      </c>
    </row>
    <row r="4">
      <c r="B4" s="11" t="inlineStr">
        <is>
          <t>Weight step (set to 5 for lb):</t>
        </is>
      </c>
      <c r="D4" s="12" t="n">
        <v>2.5</v>
      </c>
    </row>
    <row r="5">
      <c r="B5" s="11" t="inlineStr">
        <is>
          <t>This week's total volume (kg):</t>
        </is>
      </c>
      <c r="D5" s="13">
        <f>SUMIFS('Workout Log'!$F$2:$F$61,'Workout Log'!$A$2:$A$61,"&gt;="&amp;(TODAY()-7))</f>
        <v/>
      </c>
    </row>
    <row r="7">
      <c r="B7" s="5" t="inlineStr">
        <is>
          <t>Exercise</t>
        </is>
      </c>
      <c r="C7" s="5" t="inlineStr">
        <is>
          <t>Best Est. 1RM</t>
        </is>
      </c>
      <c r="D7" s="5" t="inlineStr">
        <is>
          <t>Heaviest Set (kg)</t>
        </is>
      </c>
      <c r="E7" s="5" t="inlineStr">
        <is>
          <t>Total Sets</t>
        </is>
      </c>
      <c r="F7" s="5" t="inlineStr">
        <is>
          <t>Total Volume</t>
        </is>
      </c>
      <c r="G7" s="5" t="inlineStr">
        <is>
          <t>Suggested Next Weight</t>
        </is>
      </c>
    </row>
    <row r="8">
      <c r="B8" s="14">
        <f>IF('Exercises'!A2="","",'Exercises'!A2)</f>
        <v/>
      </c>
      <c r="C8" s="15">
        <f>IF($B8="","",IF(COUNTIF('Workout Log'!$B$2:$B$61,$B8)=0,"-",ROUND(SUMPRODUCT(MAX(('Workout Log'!$B$2:$B$61=$B8)*N('Workout Log'!$C$2:$C$61)*(1+N('Workout Log'!$D$2:$D$61)/30))),1)))</f>
        <v/>
      </c>
      <c r="D8" s="15">
        <f>IF($B8="","",IF(COUNTIF('Workout Log'!$B$2:$B$61,$B8)=0,"-",SUMPRODUCT(MAX(('Workout Log'!$B$2:$B$61=$B8)*N('Workout Log'!$C$2:$C$61)))))</f>
        <v/>
      </c>
      <c r="E8" s="15">
        <f>IF($B8="","",COUNTIF('Workout Log'!$B$2:$B$61,$B8))</f>
        <v/>
      </c>
      <c r="F8" s="16">
        <f>IF($B8="","",SUMIF('Workout Log'!$B$2:$B$61,$B8,'Workout Log'!$F$2:$F$61))</f>
        <v/>
      </c>
      <c r="G8" s="17">
        <f>IF($B8="","",IF(COUNTIF('Workout Log'!$B$2:$B$61,$B8)=0,"-",SUMPRODUCT(MAX(('Workout Log'!$B$2:$B$61=$B8)*N('Workout Log'!$C$2:$C$61)))+$D$4))</f>
        <v/>
      </c>
    </row>
    <row r="9">
      <c r="B9" s="14">
        <f>IF('Exercises'!A3="","",'Exercises'!A3)</f>
        <v/>
      </c>
      <c r="C9" s="15">
        <f>IF($B9="","",IF(COUNTIF('Workout Log'!$B$2:$B$61,$B9)=0,"-",ROUND(SUMPRODUCT(MAX(('Workout Log'!$B$2:$B$61=$B9)*N('Workout Log'!$C$2:$C$61)*(1+N('Workout Log'!$D$2:$D$61)/30))),1)))</f>
        <v/>
      </c>
      <c r="D9" s="15">
        <f>IF($B9="","",IF(COUNTIF('Workout Log'!$B$2:$B$61,$B9)=0,"-",SUMPRODUCT(MAX(('Workout Log'!$B$2:$B$61=$B9)*N('Workout Log'!$C$2:$C$61)))))</f>
        <v/>
      </c>
      <c r="E9" s="15">
        <f>IF($B9="","",COUNTIF('Workout Log'!$B$2:$B$61,$B9))</f>
        <v/>
      </c>
      <c r="F9" s="16">
        <f>IF($B9="","",SUMIF('Workout Log'!$B$2:$B$61,$B9,'Workout Log'!$F$2:$F$61))</f>
        <v/>
      </c>
      <c r="G9" s="17">
        <f>IF($B9="","",IF(COUNTIF('Workout Log'!$B$2:$B$61,$B9)=0,"-",SUMPRODUCT(MAX(('Workout Log'!$B$2:$B$61=$B9)*N('Workout Log'!$C$2:$C$61)))+$D$4))</f>
        <v/>
      </c>
    </row>
    <row r="10">
      <c r="B10" s="14">
        <f>IF('Exercises'!A4="","",'Exercises'!A4)</f>
        <v/>
      </c>
      <c r="C10" s="15">
        <f>IF($B10="","",IF(COUNTIF('Workout Log'!$B$2:$B$61,$B10)=0,"-",ROUND(SUMPRODUCT(MAX(('Workout Log'!$B$2:$B$61=$B10)*N('Workout Log'!$C$2:$C$61)*(1+N('Workout Log'!$D$2:$D$61)/30))),1)))</f>
        <v/>
      </c>
      <c r="D10" s="15">
        <f>IF($B10="","",IF(COUNTIF('Workout Log'!$B$2:$B$61,$B10)=0,"-",SUMPRODUCT(MAX(('Workout Log'!$B$2:$B$61=$B10)*N('Workout Log'!$C$2:$C$61)))))</f>
        <v/>
      </c>
      <c r="E10" s="15">
        <f>IF($B10="","",COUNTIF('Workout Log'!$B$2:$B$61,$B10))</f>
        <v/>
      </c>
      <c r="F10" s="16">
        <f>IF($B10="","",SUMIF('Workout Log'!$B$2:$B$61,$B10,'Workout Log'!$F$2:$F$61))</f>
        <v/>
      </c>
      <c r="G10" s="17">
        <f>IF($B10="","",IF(COUNTIF('Workout Log'!$B$2:$B$61,$B10)=0,"-",SUMPRODUCT(MAX(('Workout Log'!$B$2:$B$61=$B10)*N('Workout Log'!$C$2:$C$61)))+$D$4))</f>
        <v/>
      </c>
    </row>
    <row r="11">
      <c r="B11" s="14">
        <f>IF('Exercises'!A5="","",'Exercises'!A5)</f>
        <v/>
      </c>
      <c r="C11" s="15">
        <f>IF($B11="","",IF(COUNTIF('Workout Log'!$B$2:$B$61,$B11)=0,"-",ROUND(SUMPRODUCT(MAX(('Workout Log'!$B$2:$B$61=$B11)*N('Workout Log'!$C$2:$C$61)*(1+N('Workout Log'!$D$2:$D$61)/30))),1)))</f>
        <v/>
      </c>
      <c r="D11" s="15">
        <f>IF($B11="","",IF(COUNTIF('Workout Log'!$B$2:$B$61,$B11)=0,"-",SUMPRODUCT(MAX(('Workout Log'!$B$2:$B$61=$B11)*N('Workout Log'!$C$2:$C$61)))))</f>
        <v/>
      </c>
      <c r="E11" s="15">
        <f>IF($B11="","",COUNTIF('Workout Log'!$B$2:$B$61,$B11))</f>
        <v/>
      </c>
      <c r="F11" s="16">
        <f>IF($B11="","",SUMIF('Workout Log'!$B$2:$B$61,$B11,'Workout Log'!$F$2:$F$61))</f>
        <v/>
      </c>
      <c r="G11" s="17">
        <f>IF($B11="","",IF(COUNTIF('Workout Log'!$B$2:$B$61,$B11)=0,"-",SUMPRODUCT(MAX(('Workout Log'!$B$2:$B$61=$B11)*N('Workout Log'!$C$2:$C$61)))+$D$4))</f>
        <v/>
      </c>
    </row>
    <row r="12">
      <c r="B12" s="14">
        <f>IF('Exercises'!A6="","",'Exercises'!A6)</f>
        <v/>
      </c>
      <c r="C12" s="15">
        <f>IF($B12="","",IF(COUNTIF('Workout Log'!$B$2:$B$61,$B12)=0,"-",ROUND(SUMPRODUCT(MAX(('Workout Log'!$B$2:$B$61=$B12)*N('Workout Log'!$C$2:$C$61)*(1+N('Workout Log'!$D$2:$D$61)/30))),1)))</f>
        <v/>
      </c>
      <c r="D12" s="15">
        <f>IF($B12="","",IF(COUNTIF('Workout Log'!$B$2:$B$61,$B12)=0,"-",SUMPRODUCT(MAX(('Workout Log'!$B$2:$B$61=$B12)*N('Workout Log'!$C$2:$C$61)))))</f>
        <v/>
      </c>
      <c r="E12" s="15">
        <f>IF($B12="","",COUNTIF('Workout Log'!$B$2:$B$61,$B12))</f>
        <v/>
      </c>
      <c r="F12" s="16">
        <f>IF($B12="","",SUMIF('Workout Log'!$B$2:$B$61,$B12,'Workout Log'!$F$2:$F$61))</f>
        <v/>
      </c>
      <c r="G12" s="17">
        <f>IF($B12="","",IF(COUNTIF('Workout Log'!$B$2:$B$61,$B12)=0,"-",SUMPRODUCT(MAX(('Workout Log'!$B$2:$B$61=$B12)*N('Workout Log'!$C$2:$C$61)))+$D$4))</f>
        <v/>
      </c>
    </row>
    <row r="13">
      <c r="B13" s="14">
        <f>IF('Exercises'!A7="","",'Exercises'!A7)</f>
        <v/>
      </c>
      <c r="C13" s="15">
        <f>IF($B13="","",IF(COUNTIF('Workout Log'!$B$2:$B$61,$B13)=0,"-",ROUND(SUMPRODUCT(MAX(('Workout Log'!$B$2:$B$61=$B13)*N('Workout Log'!$C$2:$C$61)*(1+N('Workout Log'!$D$2:$D$61)/30))),1)))</f>
        <v/>
      </c>
      <c r="D13" s="15">
        <f>IF($B13="","",IF(COUNTIF('Workout Log'!$B$2:$B$61,$B13)=0,"-",SUMPRODUCT(MAX(('Workout Log'!$B$2:$B$61=$B13)*N('Workout Log'!$C$2:$C$61)))))</f>
        <v/>
      </c>
      <c r="E13" s="15">
        <f>IF($B13="","",COUNTIF('Workout Log'!$B$2:$B$61,$B13))</f>
        <v/>
      </c>
      <c r="F13" s="16">
        <f>IF($B13="","",SUMIF('Workout Log'!$B$2:$B$61,$B13,'Workout Log'!$F$2:$F$61))</f>
        <v/>
      </c>
      <c r="G13" s="17">
        <f>IF($B13="","",IF(COUNTIF('Workout Log'!$B$2:$B$61,$B13)=0,"-",SUMPRODUCT(MAX(('Workout Log'!$B$2:$B$61=$B13)*N('Workout Log'!$C$2:$C$61)))+$D$4))</f>
        <v/>
      </c>
    </row>
    <row r="14">
      <c r="B14" s="14">
        <f>IF('Exercises'!A8="","",'Exercises'!A8)</f>
        <v/>
      </c>
      <c r="C14" s="15">
        <f>IF($B14="","",IF(COUNTIF('Workout Log'!$B$2:$B$61,$B14)=0,"-",ROUND(SUMPRODUCT(MAX(('Workout Log'!$B$2:$B$61=$B14)*N('Workout Log'!$C$2:$C$61)*(1+N('Workout Log'!$D$2:$D$61)/30))),1)))</f>
        <v/>
      </c>
      <c r="D14" s="15">
        <f>IF($B14="","",IF(COUNTIF('Workout Log'!$B$2:$B$61,$B14)=0,"-",SUMPRODUCT(MAX(('Workout Log'!$B$2:$B$61=$B14)*N('Workout Log'!$C$2:$C$61)))))</f>
        <v/>
      </c>
      <c r="E14" s="15">
        <f>IF($B14="","",COUNTIF('Workout Log'!$B$2:$B$61,$B14))</f>
        <v/>
      </c>
      <c r="F14" s="16">
        <f>IF($B14="","",SUMIF('Workout Log'!$B$2:$B$61,$B14,'Workout Log'!$F$2:$F$61))</f>
        <v/>
      </c>
      <c r="G14" s="17">
        <f>IF($B14="","",IF(COUNTIF('Workout Log'!$B$2:$B$61,$B14)=0,"-",SUMPRODUCT(MAX(('Workout Log'!$B$2:$B$61=$B14)*N('Workout Log'!$C$2:$C$61)))+$D$4))</f>
        <v/>
      </c>
    </row>
    <row r="15">
      <c r="B15" s="14">
        <f>IF('Exercises'!A9="","",'Exercises'!A9)</f>
        <v/>
      </c>
      <c r="C15" s="15">
        <f>IF($B15="","",IF(COUNTIF('Workout Log'!$B$2:$B$61,$B15)=0,"-",ROUND(SUMPRODUCT(MAX(('Workout Log'!$B$2:$B$61=$B15)*N('Workout Log'!$C$2:$C$61)*(1+N('Workout Log'!$D$2:$D$61)/30))),1)))</f>
        <v/>
      </c>
      <c r="D15" s="15">
        <f>IF($B15="","",IF(COUNTIF('Workout Log'!$B$2:$B$61,$B15)=0,"-",SUMPRODUCT(MAX(('Workout Log'!$B$2:$B$61=$B15)*N('Workout Log'!$C$2:$C$61)))))</f>
        <v/>
      </c>
      <c r="E15" s="15">
        <f>IF($B15="","",COUNTIF('Workout Log'!$B$2:$B$61,$B15))</f>
        <v/>
      </c>
      <c r="F15" s="16">
        <f>IF($B15="","",SUMIF('Workout Log'!$B$2:$B$61,$B15,'Workout Log'!$F$2:$F$61))</f>
        <v/>
      </c>
      <c r="G15" s="17">
        <f>IF($B15="","",IF(COUNTIF('Workout Log'!$B$2:$B$61,$B15)=0,"-",SUMPRODUCT(MAX(('Workout Log'!$B$2:$B$61=$B15)*N('Workout Log'!$C$2:$C$61)))+$D$4))</f>
        <v/>
      </c>
    </row>
    <row r="16">
      <c r="B16" s="14">
        <f>IF('Exercises'!A10="","",'Exercises'!A10)</f>
        <v/>
      </c>
      <c r="C16" s="15">
        <f>IF($B16="","",IF(COUNTIF('Workout Log'!$B$2:$B$61,$B16)=0,"-",ROUND(SUMPRODUCT(MAX(('Workout Log'!$B$2:$B$61=$B16)*N('Workout Log'!$C$2:$C$61)*(1+N('Workout Log'!$D$2:$D$61)/30))),1)))</f>
        <v/>
      </c>
      <c r="D16" s="15">
        <f>IF($B16="","",IF(COUNTIF('Workout Log'!$B$2:$B$61,$B16)=0,"-",SUMPRODUCT(MAX(('Workout Log'!$B$2:$B$61=$B16)*N('Workout Log'!$C$2:$C$61)))))</f>
        <v/>
      </c>
      <c r="E16" s="15">
        <f>IF($B16="","",COUNTIF('Workout Log'!$B$2:$B$61,$B16))</f>
        <v/>
      </c>
      <c r="F16" s="16">
        <f>IF($B16="","",SUMIF('Workout Log'!$B$2:$B$61,$B16,'Workout Log'!$F$2:$F$61))</f>
        <v/>
      </c>
      <c r="G16" s="17">
        <f>IF($B16="","",IF(COUNTIF('Workout Log'!$B$2:$B$61,$B16)=0,"-",SUMPRODUCT(MAX(('Workout Log'!$B$2:$B$61=$B16)*N('Workout Log'!$C$2:$C$61)))+$D$4))</f>
        <v/>
      </c>
    </row>
    <row r="17">
      <c r="B17" s="14">
        <f>IF('Exercises'!A11="","",'Exercises'!A11)</f>
        <v/>
      </c>
      <c r="C17" s="15">
        <f>IF($B17="","",IF(COUNTIF('Workout Log'!$B$2:$B$61,$B17)=0,"-",ROUND(SUMPRODUCT(MAX(('Workout Log'!$B$2:$B$61=$B17)*N('Workout Log'!$C$2:$C$61)*(1+N('Workout Log'!$D$2:$D$61)/30))),1)))</f>
        <v/>
      </c>
      <c r="D17" s="15">
        <f>IF($B17="","",IF(COUNTIF('Workout Log'!$B$2:$B$61,$B17)=0,"-",SUMPRODUCT(MAX(('Workout Log'!$B$2:$B$61=$B17)*N('Workout Log'!$C$2:$C$61)))))</f>
        <v/>
      </c>
      <c r="E17" s="15">
        <f>IF($B17="","",COUNTIF('Workout Log'!$B$2:$B$61,$B17))</f>
        <v/>
      </c>
      <c r="F17" s="16">
        <f>IF($B17="","",SUMIF('Workout Log'!$B$2:$B$61,$B17,'Workout Log'!$F$2:$F$61))</f>
        <v/>
      </c>
      <c r="G17" s="17">
        <f>IF($B17="","",IF(COUNTIF('Workout Log'!$B$2:$B$61,$B17)=0,"-",SUMPRODUCT(MAX(('Workout Log'!$B$2:$B$61=$B17)*N('Workout Log'!$C$2:$C$61)))+$D$4))</f>
        <v/>
      </c>
    </row>
    <row r="18">
      <c r="B18" s="14">
        <f>IF('Exercises'!A12="","",'Exercises'!A12)</f>
        <v/>
      </c>
      <c r="C18" s="15">
        <f>IF($B18="","",IF(COUNTIF('Workout Log'!$B$2:$B$61,$B18)=0,"-",ROUND(SUMPRODUCT(MAX(('Workout Log'!$B$2:$B$61=$B18)*N('Workout Log'!$C$2:$C$61)*(1+N('Workout Log'!$D$2:$D$61)/30))),1)))</f>
        <v/>
      </c>
      <c r="D18" s="15">
        <f>IF($B18="","",IF(COUNTIF('Workout Log'!$B$2:$B$61,$B18)=0,"-",SUMPRODUCT(MAX(('Workout Log'!$B$2:$B$61=$B18)*N('Workout Log'!$C$2:$C$61)))))</f>
        <v/>
      </c>
      <c r="E18" s="15">
        <f>IF($B18="","",COUNTIF('Workout Log'!$B$2:$B$61,$B18))</f>
        <v/>
      </c>
      <c r="F18" s="16">
        <f>IF($B18="","",SUMIF('Workout Log'!$B$2:$B$61,$B18,'Workout Log'!$F$2:$F$61))</f>
        <v/>
      </c>
      <c r="G18" s="17">
        <f>IF($B18="","",IF(COUNTIF('Workout Log'!$B$2:$B$61,$B18)=0,"-",SUMPRODUCT(MAX(('Workout Log'!$B$2:$B$61=$B18)*N('Workout Log'!$C$2:$C$61)))+$D$4))</f>
        <v/>
      </c>
    </row>
    <row r="19">
      <c r="B19" s="14">
        <f>IF('Exercises'!A13="","",'Exercises'!A13)</f>
        <v/>
      </c>
      <c r="C19" s="15">
        <f>IF($B19="","",IF(COUNTIF('Workout Log'!$B$2:$B$61,$B19)=0,"-",ROUND(SUMPRODUCT(MAX(('Workout Log'!$B$2:$B$61=$B19)*N('Workout Log'!$C$2:$C$61)*(1+N('Workout Log'!$D$2:$D$61)/30))),1)))</f>
        <v/>
      </c>
      <c r="D19" s="15">
        <f>IF($B19="","",IF(COUNTIF('Workout Log'!$B$2:$B$61,$B19)=0,"-",SUMPRODUCT(MAX(('Workout Log'!$B$2:$B$61=$B19)*N('Workout Log'!$C$2:$C$61)))))</f>
        <v/>
      </c>
      <c r="E19" s="15">
        <f>IF($B19="","",COUNTIF('Workout Log'!$B$2:$B$61,$B19))</f>
        <v/>
      </c>
      <c r="F19" s="16">
        <f>IF($B19="","",SUMIF('Workout Log'!$B$2:$B$61,$B19,'Workout Log'!$F$2:$F$61))</f>
        <v/>
      </c>
      <c r="G19" s="17">
        <f>IF($B19="","",IF(COUNTIF('Workout Log'!$B$2:$B$61,$B19)=0,"-",SUMPRODUCT(MAX(('Workout Log'!$B$2:$B$61=$B19)*N('Workout Log'!$C$2:$C$61)))+$D$4))</f>
        <v/>
      </c>
    </row>
    <row r="20">
      <c r="B20" s="14">
        <f>IF('Exercises'!A14="","",'Exercises'!A14)</f>
        <v/>
      </c>
      <c r="C20" s="15">
        <f>IF($B20="","",IF(COUNTIF('Workout Log'!$B$2:$B$61,$B20)=0,"-",ROUND(SUMPRODUCT(MAX(('Workout Log'!$B$2:$B$61=$B20)*N('Workout Log'!$C$2:$C$61)*(1+N('Workout Log'!$D$2:$D$61)/30))),1)))</f>
        <v/>
      </c>
      <c r="D20" s="15">
        <f>IF($B20="","",IF(COUNTIF('Workout Log'!$B$2:$B$61,$B20)=0,"-",SUMPRODUCT(MAX(('Workout Log'!$B$2:$B$61=$B20)*N('Workout Log'!$C$2:$C$61)))))</f>
        <v/>
      </c>
      <c r="E20" s="15">
        <f>IF($B20="","",COUNTIF('Workout Log'!$B$2:$B$61,$B20))</f>
        <v/>
      </c>
      <c r="F20" s="16">
        <f>IF($B20="","",SUMIF('Workout Log'!$B$2:$B$61,$B20,'Workout Log'!$F$2:$F$61))</f>
        <v/>
      </c>
      <c r="G20" s="17">
        <f>IF($B20="","",IF(COUNTIF('Workout Log'!$B$2:$B$61,$B20)=0,"-",SUMPRODUCT(MAX(('Workout Log'!$B$2:$B$61=$B20)*N('Workout Log'!$C$2:$C$61)))+$D$4))</f>
        <v/>
      </c>
    </row>
    <row r="21">
      <c r="B21" s="14">
        <f>IF('Exercises'!A15="","",'Exercises'!A15)</f>
        <v/>
      </c>
      <c r="C21" s="15">
        <f>IF($B21="","",IF(COUNTIF('Workout Log'!$B$2:$B$61,$B21)=0,"-",ROUND(SUMPRODUCT(MAX(('Workout Log'!$B$2:$B$61=$B21)*N('Workout Log'!$C$2:$C$61)*(1+N('Workout Log'!$D$2:$D$61)/30))),1)))</f>
        <v/>
      </c>
      <c r="D21" s="15">
        <f>IF($B21="","",IF(COUNTIF('Workout Log'!$B$2:$B$61,$B21)=0,"-",SUMPRODUCT(MAX(('Workout Log'!$B$2:$B$61=$B21)*N('Workout Log'!$C$2:$C$61)))))</f>
        <v/>
      </c>
      <c r="E21" s="15">
        <f>IF($B21="","",COUNTIF('Workout Log'!$B$2:$B$61,$B21))</f>
        <v/>
      </c>
      <c r="F21" s="16">
        <f>IF($B21="","",SUMIF('Workout Log'!$B$2:$B$61,$B21,'Workout Log'!$F$2:$F$61))</f>
        <v/>
      </c>
      <c r="G21" s="17">
        <f>IF($B21="","",IF(COUNTIF('Workout Log'!$B$2:$B$61,$B21)=0,"-",SUMPRODUCT(MAX(('Workout Log'!$B$2:$B$61=$B21)*N('Workout Log'!$C$2:$C$61)))+$D$4))</f>
        <v/>
      </c>
    </row>
    <row r="22">
      <c r="B22" s="14">
        <f>IF('Exercises'!A16="","",'Exercises'!A16)</f>
        <v/>
      </c>
      <c r="C22" s="15">
        <f>IF($B22="","",IF(COUNTIF('Workout Log'!$B$2:$B$61,$B22)=0,"-",ROUND(SUMPRODUCT(MAX(('Workout Log'!$B$2:$B$61=$B22)*N('Workout Log'!$C$2:$C$61)*(1+N('Workout Log'!$D$2:$D$61)/30))),1)))</f>
        <v/>
      </c>
      <c r="D22" s="15">
        <f>IF($B22="","",IF(COUNTIF('Workout Log'!$B$2:$B$61,$B22)=0,"-",SUMPRODUCT(MAX(('Workout Log'!$B$2:$B$61=$B22)*N('Workout Log'!$C$2:$C$61)))))</f>
        <v/>
      </c>
      <c r="E22" s="15">
        <f>IF($B22="","",COUNTIF('Workout Log'!$B$2:$B$61,$B22))</f>
        <v/>
      </c>
      <c r="F22" s="16">
        <f>IF($B22="","",SUMIF('Workout Log'!$B$2:$B$61,$B22,'Workout Log'!$F$2:$F$61))</f>
        <v/>
      </c>
      <c r="G22" s="17">
        <f>IF($B22="","",IF(COUNTIF('Workout Log'!$B$2:$B$61,$B22)=0,"-",SUMPRODUCT(MAX(('Workout Log'!$B$2:$B$61=$B22)*N('Workout Log'!$C$2:$C$61)))+$D$4))</f>
        <v/>
      </c>
    </row>
    <row r="23">
      <c r="B23" s="14">
        <f>IF('Exercises'!A17="","",'Exercises'!A17)</f>
        <v/>
      </c>
      <c r="C23" s="15">
        <f>IF($B23="","",IF(COUNTIF('Workout Log'!$B$2:$B$61,$B23)=0,"-",ROUND(SUMPRODUCT(MAX(('Workout Log'!$B$2:$B$61=$B23)*N('Workout Log'!$C$2:$C$61)*(1+N('Workout Log'!$D$2:$D$61)/30))),1)))</f>
        <v/>
      </c>
      <c r="D23" s="15">
        <f>IF($B23="","",IF(COUNTIF('Workout Log'!$B$2:$B$61,$B23)=0,"-",SUMPRODUCT(MAX(('Workout Log'!$B$2:$B$61=$B23)*N('Workout Log'!$C$2:$C$61)))))</f>
        <v/>
      </c>
      <c r="E23" s="15">
        <f>IF($B23="","",COUNTIF('Workout Log'!$B$2:$B$61,$B23))</f>
        <v/>
      </c>
      <c r="F23" s="16">
        <f>IF($B23="","",SUMIF('Workout Log'!$B$2:$B$61,$B23,'Workout Log'!$F$2:$F$61))</f>
        <v/>
      </c>
      <c r="G23" s="17">
        <f>IF($B23="","",IF(COUNTIF('Workout Log'!$B$2:$B$61,$B23)=0,"-",SUMPRODUCT(MAX(('Workout Log'!$B$2:$B$61=$B23)*N('Workout Log'!$C$2:$C$61)))+$D$4))</f>
        <v/>
      </c>
    </row>
    <row r="24">
      <c r="B24" s="14">
        <f>IF('Exercises'!A18="","",'Exercises'!A18)</f>
        <v/>
      </c>
      <c r="C24" s="15">
        <f>IF($B24="","",IF(COUNTIF('Workout Log'!$B$2:$B$61,$B24)=0,"-",ROUND(SUMPRODUCT(MAX(('Workout Log'!$B$2:$B$61=$B24)*N('Workout Log'!$C$2:$C$61)*(1+N('Workout Log'!$D$2:$D$61)/30))),1)))</f>
        <v/>
      </c>
      <c r="D24" s="15">
        <f>IF($B24="","",IF(COUNTIF('Workout Log'!$B$2:$B$61,$B24)=0,"-",SUMPRODUCT(MAX(('Workout Log'!$B$2:$B$61=$B24)*N('Workout Log'!$C$2:$C$61)))))</f>
        <v/>
      </c>
      <c r="E24" s="15">
        <f>IF($B24="","",COUNTIF('Workout Log'!$B$2:$B$61,$B24))</f>
        <v/>
      </c>
      <c r="F24" s="16">
        <f>IF($B24="","",SUMIF('Workout Log'!$B$2:$B$61,$B24,'Workout Log'!$F$2:$F$61))</f>
        <v/>
      </c>
      <c r="G24" s="17">
        <f>IF($B24="","",IF(COUNTIF('Workout Log'!$B$2:$B$61,$B24)=0,"-",SUMPRODUCT(MAX(('Workout Log'!$B$2:$B$61=$B24)*N('Workout Log'!$C$2:$C$61)))+$D$4))</f>
        <v/>
      </c>
    </row>
    <row r="25">
      <c r="B25" s="14">
        <f>IF('Exercises'!A19="","",'Exercises'!A19)</f>
        <v/>
      </c>
      <c r="C25" s="15">
        <f>IF($B25="","",IF(COUNTIF('Workout Log'!$B$2:$B$61,$B25)=0,"-",ROUND(SUMPRODUCT(MAX(('Workout Log'!$B$2:$B$61=$B25)*N('Workout Log'!$C$2:$C$61)*(1+N('Workout Log'!$D$2:$D$61)/30))),1)))</f>
        <v/>
      </c>
      <c r="D25" s="15">
        <f>IF($B25="","",IF(COUNTIF('Workout Log'!$B$2:$B$61,$B25)=0,"-",SUMPRODUCT(MAX(('Workout Log'!$B$2:$B$61=$B25)*N('Workout Log'!$C$2:$C$61)))))</f>
        <v/>
      </c>
      <c r="E25" s="15">
        <f>IF($B25="","",COUNTIF('Workout Log'!$B$2:$B$61,$B25))</f>
        <v/>
      </c>
      <c r="F25" s="16">
        <f>IF($B25="","",SUMIF('Workout Log'!$B$2:$B$61,$B25,'Workout Log'!$F$2:$F$61))</f>
        <v/>
      </c>
      <c r="G25" s="17">
        <f>IF($B25="","",IF(COUNTIF('Workout Log'!$B$2:$B$61,$B25)=0,"-",SUMPRODUCT(MAX(('Workout Log'!$B$2:$B$61=$B25)*N('Workout Log'!$C$2:$C$61)))+$D$4))</f>
        <v/>
      </c>
    </row>
    <row r="26">
      <c r="B26" s="14">
        <f>IF('Exercises'!A20="","",'Exercises'!A20)</f>
        <v/>
      </c>
      <c r="C26" s="15">
        <f>IF($B26="","",IF(COUNTIF('Workout Log'!$B$2:$B$61,$B26)=0,"-",ROUND(SUMPRODUCT(MAX(('Workout Log'!$B$2:$B$61=$B26)*N('Workout Log'!$C$2:$C$61)*(1+N('Workout Log'!$D$2:$D$61)/30))),1)))</f>
        <v/>
      </c>
      <c r="D26" s="15">
        <f>IF($B26="","",IF(COUNTIF('Workout Log'!$B$2:$B$61,$B26)=0,"-",SUMPRODUCT(MAX(('Workout Log'!$B$2:$B$61=$B26)*N('Workout Log'!$C$2:$C$61)))))</f>
        <v/>
      </c>
      <c r="E26" s="15">
        <f>IF($B26="","",COUNTIF('Workout Log'!$B$2:$B$61,$B26))</f>
        <v/>
      </c>
      <c r="F26" s="16">
        <f>IF($B26="","",SUMIF('Workout Log'!$B$2:$B$61,$B26,'Workout Log'!$F$2:$F$61))</f>
        <v/>
      </c>
      <c r="G26" s="17">
        <f>IF($B26="","",IF(COUNTIF('Workout Log'!$B$2:$B$61,$B26)=0,"-",SUMPRODUCT(MAX(('Workout Log'!$B$2:$B$61=$B26)*N('Workout Log'!$C$2:$C$61)))+$D$4))</f>
        <v/>
      </c>
    </row>
    <row r="27">
      <c r="B27" s="14">
        <f>IF('Exercises'!A21="","",'Exercises'!A21)</f>
        <v/>
      </c>
      <c r="C27" s="15">
        <f>IF($B27="","",IF(COUNTIF('Workout Log'!$B$2:$B$61,$B27)=0,"-",ROUND(SUMPRODUCT(MAX(('Workout Log'!$B$2:$B$61=$B27)*N('Workout Log'!$C$2:$C$61)*(1+N('Workout Log'!$D$2:$D$61)/30))),1)))</f>
        <v/>
      </c>
      <c r="D27" s="15">
        <f>IF($B27="","",IF(COUNTIF('Workout Log'!$B$2:$B$61,$B27)=0,"-",SUMPRODUCT(MAX(('Workout Log'!$B$2:$B$61=$B27)*N('Workout Log'!$C$2:$C$61)))))</f>
        <v/>
      </c>
      <c r="E27" s="15">
        <f>IF($B27="","",COUNTIF('Workout Log'!$B$2:$B$61,$B27))</f>
        <v/>
      </c>
      <c r="F27" s="16">
        <f>IF($B27="","",SUMIF('Workout Log'!$B$2:$B$61,$B27,'Workout Log'!$F$2:$F$61))</f>
        <v/>
      </c>
      <c r="G27" s="17">
        <f>IF($B27="","",IF(COUNTIF('Workout Log'!$B$2:$B$61,$B27)=0,"-",SUMPRODUCT(MAX(('Workout Log'!$B$2:$B$61=$B27)*N('Workout Log'!$C$2:$C$61)))+$D$4))</f>
        <v/>
      </c>
    </row>
    <row r="28">
      <c r="B28" s="14">
        <f>IF('Exercises'!A22="","",'Exercises'!A22)</f>
        <v/>
      </c>
      <c r="C28" s="15">
        <f>IF($B28="","",IF(COUNTIF('Workout Log'!$B$2:$B$61,$B28)=0,"-",ROUND(SUMPRODUCT(MAX(('Workout Log'!$B$2:$B$61=$B28)*N('Workout Log'!$C$2:$C$61)*(1+N('Workout Log'!$D$2:$D$61)/30))),1)))</f>
        <v/>
      </c>
      <c r="D28" s="15">
        <f>IF($B28="","",IF(COUNTIF('Workout Log'!$B$2:$B$61,$B28)=0,"-",SUMPRODUCT(MAX(('Workout Log'!$B$2:$B$61=$B28)*N('Workout Log'!$C$2:$C$61)))))</f>
        <v/>
      </c>
      <c r="E28" s="15">
        <f>IF($B28="","",COUNTIF('Workout Log'!$B$2:$B$61,$B28))</f>
        <v/>
      </c>
      <c r="F28" s="16">
        <f>IF($B28="","",SUMIF('Workout Log'!$B$2:$B$61,$B28,'Workout Log'!$F$2:$F$61))</f>
        <v/>
      </c>
      <c r="G28" s="17">
        <f>IF($B28="","",IF(COUNTIF('Workout Log'!$B$2:$B$61,$B28)=0,"-",SUMPRODUCT(MAX(('Workout Log'!$B$2:$B$61=$B28)*N('Workout Log'!$C$2:$C$61)))+$D$4))</f>
        <v/>
      </c>
    </row>
    <row r="29">
      <c r="B29" s="14">
        <f>IF('Exercises'!A23="","",'Exercises'!A23)</f>
        <v/>
      </c>
      <c r="C29" s="15">
        <f>IF($B29="","",IF(COUNTIF('Workout Log'!$B$2:$B$61,$B29)=0,"-",ROUND(SUMPRODUCT(MAX(('Workout Log'!$B$2:$B$61=$B29)*N('Workout Log'!$C$2:$C$61)*(1+N('Workout Log'!$D$2:$D$61)/30))),1)))</f>
        <v/>
      </c>
      <c r="D29" s="15">
        <f>IF($B29="","",IF(COUNTIF('Workout Log'!$B$2:$B$61,$B29)=0,"-",SUMPRODUCT(MAX(('Workout Log'!$B$2:$B$61=$B29)*N('Workout Log'!$C$2:$C$61)))))</f>
        <v/>
      </c>
      <c r="E29" s="15">
        <f>IF($B29="","",COUNTIF('Workout Log'!$B$2:$B$61,$B29))</f>
        <v/>
      </c>
      <c r="F29" s="16">
        <f>IF($B29="","",SUMIF('Workout Log'!$B$2:$B$61,$B29,'Workout Log'!$F$2:$F$61))</f>
        <v/>
      </c>
      <c r="G29" s="17">
        <f>IF($B29="","",IF(COUNTIF('Workout Log'!$B$2:$B$61,$B29)=0,"-",SUMPRODUCT(MAX(('Workout Log'!$B$2:$B$61=$B29)*N('Workout Log'!$C$2:$C$61)))+$D$4))</f>
        <v/>
      </c>
    </row>
    <row r="30">
      <c r="B30" s="14">
        <f>IF('Exercises'!A24="","",'Exercises'!A24)</f>
        <v/>
      </c>
      <c r="C30" s="15">
        <f>IF($B30="","",IF(COUNTIF('Workout Log'!$B$2:$B$61,$B30)=0,"-",ROUND(SUMPRODUCT(MAX(('Workout Log'!$B$2:$B$61=$B30)*N('Workout Log'!$C$2:$C$61)*(1+N('Workout Log'!$D$2:$D$61)/30))),1)))</f>
        <v/>
      </c>
      <c r="D30" s="15">
        <f>IF($B30="","",IF(COUNTIF('Workout Log'!$B$2:$B$61,$B30)=0,"-",SUMPRODUCT(MAX(('Workout Log'!$B$2:$B$61=$B30)*N('Workout Log'!$C$2:$C$61)))))</f>
        <v/>
      </c>
      <c r="E30" s="15">
        <f>IF($B30="","",COUNTIF('Workout Log'!$B$2:$B$61,$B30))</f>
        <v/>
      </c>
      <c r="F30" s="16">
        <f>IF($B30="","",SUMIF('Workout Log'!$B$2:$B$61,$B30,'Workout Log'!$F$2:$F$61))</f>
        <v/>
      </c>
      <c r="G30" s="17">
        <f>IF($B30="","",IF(COUNTIF('Workout Log'!$B$2:$B$61,$B30)=0,"-",SUMPRODUCT(MAX(('Workout Log'!$B$2:$B$61=$B30)*N('Workout Log'!$C$2:$C$61)))+$D$4))</f>
        <v/>
      </c>
    </row>
    <row r="31">
      <c r="B31" s="14">
        <f>IF('Exercises'!A25="","",'Exercises'!A25)</f>
        <v/>
      </c>
      <c r="C31" s="15">
        <f>IF($B31="","",IF(COUNTIF('Workout Log'!$B$2:$B$61,$B31)=0,"-",ROUND(SUMPRODUCT(MAX(('Workout Log'!$B$2:$B$61=$B31)*N('Workout Log'!$C$2:$C$61)*(1+N('Workout Log'!$D$2:$D$61)/30))),1)))</f>
        <v/>
      </c>
      <c r="D31" s="15">
        <f>IF($B31="","",IF(COUNTIF('Workout Log'!$B$2:$B$61,$B31)=0,"-",SUMPRODUCT(MAX(('Workout Log'!$B$2:$B$61=$B31)*N('Workout Log'!$C$2:$C$61)))))</f>
        <v/>
      </c>
      <c r="E31" s="15">
        <f>IF($B31="","",COUNTIF('Workout Log'!$B$2:$B$61,$B31))</f>
        <v/>
      </c>
      <c r="F31" s="16">
        <f>IF($B31="","",SUMIF('Workout Log'!$B$2:$B$61,$B31,'Workout Log'!$F$2:$F$61))</f>
        <v/>
      </c>
      <c r="G31" s="17">
        <f>IF($B31="","",IF(COUNTIF('Workout Log'!$B$2:$B$61,$B31)=0,"-",SUMPRODUCT(MAX(('Workout Log'!$B$2:$B$61=$B31)*N('Workout Log'!$C$2:$C$61)))+$D$4))</f>
        <v/>
      </c>
    </row>
    <row r="32">
      <c r="B32" s="14">
        <f>IF('Exercises'!A26="","",'Exercises'!A26)</f>
        <v/>
      </c>
      <c r="C32" s="15">
        <f>IF($B32="","",IF(COUNTIF('Workout Log'!$B$2:$B$61,$B32)=0,"-",ROUND(SUMPRODUCT(MAX(('Workout Log'!$B$2:$B$61=$B32)*N('Workout Log'!$C$2:$C$61)*(1+N('Workout Log'!$D$2:$D$61)/30))),1)))</f>
        <v/>
      </c>
      <c r="D32" s="15">
        <f>IF($B32="","",IF(COUNTIF('Workout Log'!$B$2:$B$61,$B32)=0,"-",SUMPRODUCT(MAX(('Workout Log'!$B$2:$B$61=$B32)*N('Workout Log'!$C$2:$C$61)))))</f>
        <v/>
      </c>
      <c r="E32" s="15">
        <f>IF($B32="","",COUNTIF('Workout Log'!$B$2:$B$61,$B32))</f>
        <v/>
      </c>
      <c r="F32" s="16">
        <f>IF($B32="","",SUMIF('Workout Log'!$B$2:$B$61,$B32,'Workout Log'!$F$2:$F$61))</f>
        <v/>
      </c>
      <c r="G32" s="17">
        <f>IF($B32="","",IF(COUNTIF('Workout Log'!$B$2:$B$61,$B32)=0,"-",SUMPRODUCT(MAX(('Workout Log'!$B$2:$B$61=$B32)*N('Workout Log'!$C$2:$C$61)))+$D$4))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2026-08-15T13:12:24Z</dcterms:created>
  <dcterms:modified xsi:type="dcterms:W3CDTF">2026-08-15T13:12:24Z</dcterms:modified>
</cp:coreProperties>
</file>