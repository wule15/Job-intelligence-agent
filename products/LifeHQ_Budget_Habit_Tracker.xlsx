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up" sheetId="2" state="visible" r:id="rId2"/>
    <sheet name="Expenses" sheetId="3" state="visible" r:id="rId3"/>
    <sheet name="Budget" sheetId="4" state="visible" r:id="rId4"/>
    <sheet name="Habits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color rgb="004B5563"/>
      <sz val="11"/>
    </font>
    <font>
      <name val="Arial"/>
      <color rgb="00111827"/>
      <sz val="11"/>
    </font>
    <font>
      <name val="Arial"/>
      <b val="1"/>
      <color rgb="00059669"/>
      <sz val="12"/>
    </font>
    <font>
      <name val="Arial"/>
      <b val="1"/>
      <color rgb="00FFFFFF"/>
      <sz val="11"/>
    </font>
    <font>
      <name val="Arial"/>
      <b val="1"/>
      <color rgb="00111827"/>
      <sz val="11"/>
    </font>
    <font>
      <name val="Arial"/>
      <b val="1"/>
      <color rgb="002563EB"/>
    </font>
    <font>
      <name val="Arial"/>
      <color rgb="009CA3AF"/>
      <sz val="8"/>
    </font>
    <font>
      <name val="Arial"/>
      <b val="1"/>
      <color rgb="00059669"/>
      <sz val="16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B"/>
      </patternFill>
    </fill>
    <fill>
      <patternFill patternType="solid">
        <fgColor rgb="00F3F4F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4" fontId="3" fillId="3" borderId="1" applyAlignment="1" pivotButton="0" quotePrefix="0" xfId="0">
      <alignment horizontal="center"/>
    </xf>
    <xf numFmtId="0" fontId="6" fillId="0" borderId="0" pivotButton="0" quotePrefix="0" xfId="0"/>
    <xf numFmtId="4" fontId="7" fillId="3" borderId="1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4" borderId="1" applyAlignment="1" pivotButton="0" quotePrefix="0" xfId="0">
      <alignment horizontal="center"/>
    </xf>
    <xf numFmtId="0" fontId="8" fillId="4" borderId="1" pivotButton="0" quotePrefix="0" xfId="0"/>
    <xf numFmtId="4" fontId="6" fillId="0" borderId="1" applyAlignment="1" pivotButton="0" quotePrefix="0" xfId="0">
      <alignment horizontal="center"/>
    </xf>
    <xf numFmtId="9" fontId="3" fillId="4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9" fontId="6" fillId="4" borderId="1" applyAlignment="1" pivotButton="0" quotePrefix="0" xfId="0">
      <alignment horizontal="center"/>
    </xf>
    <xf numFmtId="4" fontId="9" fillId="5" borderId="1" applyAlignment="1" pivotButton="0" quotePrefix="0" xfId="0">
      <alignment horizontal="center"/>
    </xf>
    <xf numFmtId="9" fontId="9" fillId="5" borderId="1" applyAlignment="1" pivotButton="0" quotePrefix="0" xfId="0">
      <alignment horizontal="center"/>
    </xf>
    <xf numFmtId="3" fontId="9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LIFE HQ</t>
        </is>
      </c>
    </row>
    <row r="3">
      <c r="B3" s="2" t="inlineStr">
        <is>
          <t>Your money and your habits, on one dashboard.</t>
        </is>
      </c>
    </row>
    <row r="5">
      <c r="B5" s="3" t="inlineStr"/>
    </row>
    <row r="6">
      <c r="B6" s="4" t="inlineStr">
        <is>
          <t>HOW IT WORKS</t>
        </is>
      </c>
    </row>
    <row r="7">
      <c r="B7" s="3" t="inlineStr">
        <is>
          <t>1.  Set your monthly income and a budget per category on the 'Budget' tab (blue cells).</t>
        </is>
      </c>
    </row>
    <row r="8">
      <c r="B8" s="3" t="inlineStr">
        <is>
          <t>2.  Log spending on the 'Expenses' tab — pick a category from the dropdown, type the amount.</t>
        </is>
      </c>
    </row>
    <row r="9">
      <c r="B9" s="3" t="inlineStr">
        <is>
          <t>3.  Tick off habits each day on the 'Habits' tab (type an 'x' or anything in the day cell).</t>
        </is>
      </c>
    </row>
    <row r="10">
      <c r="B10" s="3" t="inlineStr">
        <is>
          <t>4.  The 'Dashboard' tab pulls it all together — budget used, savings progress, habit completion. Nothing to fill in there.</t>
        </is>
      </c>
    </row>
    <row r="11">
      <c r="B11" s="3" t="inlineStr"/>
    </row>
    <row r="12">
      <c r="B12" s="4" t="inlineStr">
        <is>
          <t>WHAT IT TRACKS FOR YOU</t>
        </is>
      </c>
    </row>
    <row r="13">
      <c r="B13" s="3" t="inlineStr">
        <is>
          <t>•  Budget vs. actual per category, and how much of your income is left.</t>
        </is>
      </c>
    </row>
    <row r="14">
      <c r="B14" s="3" t="inlineStr">
        <is>
          <t>•  Savings goals with automatic % complete.</t>
        </is>
      </c>
    </row>
    <row r="15">
      <c r="B15" s="3" t="inlineStr">
        <is>
          <t>•  Habit completion for the month, your best habit, and total check-ins.</t>
        </is>
      </c>
    </row>
    <row r="16">
      <c r="B16" s="3" t="inlineStr">
        <is>
          <t>•  Your top spending categories, ranked automatically.</t>
        </is>
      </c>
    </row>
    <row r="17">
      <c r="B17" s="3" t="inlineStr"/>
    </row>
    <row r="18">
      <c r="B18" s="4" t="inlineStr">
        <is>
          <t>TIPS</t>
        </is>
      </c>
    </row>
    <row r="19">
      <c r="B19" s="3" t="inlineStr">
        <is>
          <t>•  Edit categories and habits on the 'Setup' tab — the budget rows, dropdowns and habit grid follow.</t>
        </is>
      </c>
    </row>
    <row r="20">
      <c r="B20" s="3" t="inlineStr">
        <is>
          <t>•  No currency symbol is forced, so it works in any currency — just stay consistent.</t>
        </is>
      </c>
    </row>
    <row r="21">
      <c r="B21" s="3" t="inlineStr">
        <is>
          <t>•  New month? Right-click the 'Expenses' and 'Habits' tabs and Duplicate them to start fresh, or clear the cells.</t>
        </is>
      </c>
    </row>
    <row r="22">
      <c r="B22" s="3" t="inlineStr"/>
    </row>
    <row r="23">
      <c r="B23" s="4" t="inlineStr">
        <is>
          <t>LEGEND</t>
        </is>
      </c>
    </row>
    <row r="24">
      <c r="B24" s="3" t="inlineStr">
        <is>
          <t>BLUE cell = you fill this        GREY cell = calculated for you, don't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5" t="inlineStr">
        <is>
          <t>Expense Categories</t>
        </is>
      </c>
      <c r="B1" s="5" t="inlineStr">
        <is>
          <t>Habits</t>
        </is>
      </c>
    </row>
    <row r="2">
      <c r="A2" s="6" t="inlineStr">
        <is>
          <t>Rent / Mortgage</t>
        </is>
      </c>
      <c r="B2" s="6" t="inlineStr">
        <is>
          <t>Exercise</t>
        </is>
      </c>
    </row>
    <row r="3">
      <c r="A3" s="6" t="inlineStr">
        <is>
          <t>Utilities</t>
        </is>
      </c>
      <c r="B3" s="6" t="inlineStr">
        <is>
          <t>Read 10 pages</t>
        </is>
      </c>
    </row>
    <row r="4">
      <c r="A4" s="6" t="inlineStr">
        <is>
          <t>Groceries</t>
        </is>
      </c>
      <c r="B4" s="6" t="inlineStr">
        <is>
          <t>Drink water</t>
        </is>
      </c>
    </row>
    <row r="5">
      <c r="A5" s="6" t="inlineStr">
        <is>
          <t>Dining Out</t>
        </is>
      </c>
      <c r="B5" s="6" t="inlineStr">
        <is>
          <t>No junk food</t>
        </is>
      </c>
    </row>
    <row r="6">
      <c r="A6" s="6" t="inlineStr">
        <is>
          <t>Transport</t>
        </is>
      </c>
      <c r="B6" s="6" t="inlineStr">
        <is>
          <t>Sleep by 11</t>
        </is>
      </c>
    </row>
    <row r="7">
      <c r="A7" s="6" t="inlineStr">
        <is>
          <t>Fuel</t>
        </is>
      </c>
      <c r="B7" s="6" t="inlineStr">
        <is>
          <t>Study</t>
        </is>
      </c>
    </row>
    <row r="8">
      <c r="A8" s="6" t="inlineStr">
        <is>
          <t>Insurance</t>
        </is>
      </c>
      <c r="B8" s="6" t="inlineStr">
        <is>
          <t>Meditate</t>
        </is>
      </c>
    </row>
    <row r="9">
      <c r="A9" s="6" t="inlineStr">
        <is>
          <t>Subscriptions</t>
        </is>
      </c>
      <c r="B9" s="6" t="inlineStr">
        <is>
          <t>Steps 8k</t>
        </is>
      </c>
    </row>
    <row r="10">
      <c r="A10" s="6" t="inlineStr">
        <is>
          <t>Shopping</t>
        </is>
      </c>
      <c r="B10" s="6" t="n"/>
    </row>
    <row r="11">
      <c r="A11" s="6" t="inlineStr">
        <is>
          <t>Health</t>
        </is>
      </c>
      <c r="B11" s="6" t="n"/>
    </row>
    <row r="12">
      <c r="A12" s="6" t="inlineStr">
        <is>
          <t>Entertainment</t>
        </is>
      </c>
      <c r="B12" s="6" t="n"/>
    </row>
    <row r="13">
      <c r="A13" s="6" t="inlineStr">
        <is>
          <t>Savings</t>
        </is>
      </c>
      <c r="B13" s="6" t="n"/>
    </row>
    <row r="14">
      <c r="A14" s="6" t="inlineStr">
        <is>
          <t>Other</t>
        </is>
      </c>
      <c r="B14" s="6" t="n"/>
    </row>
    <row r="15">
      <c r="A15" s="6" t="n"/>
      <c r="B15" s="6" t="n"/>
    </row>
    <row r="16">
      <c r="A16" s="6" t="n"/>
      <c r="B16" s="6" t="n"/>
    </row>
    <row r="17">
      <c r="A17" s="6" t="n"/>
      <c r="B17" s="6" t="n"/>
    </row>
    <row r="18">
      <c r="A18" s="6" t="n"/>
      <c r="B18" s="6" t="n"/>
    </row>
    <row r="19">
      <c r="A19" s="6" t="n"/>
      <c r="B19" s="6" t="n"/>
    </row>
    <row r="20">
      <c r="A20" s="6" t="n"/>
      <c r="B20" s="6" t="n"/>
    </row>
    <row r="21">
      <c r="A21" s="6" t="n"/>
      <c r="B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12" customWidth="1" min="4" max="4"/>
  </cols>
  <sheetData>
    <row r="1">
      <c r="A1" s="5" t="inlineStr">
        <is>
          <t>Date</t>
        </is>
      </c>
      <c r="B1" s="5" t="inlineStr">
        <is>
          <t>Category</t>
        </is>
      </c>
      <c r="C1" s="5" t="inlineStr">
        <is>
          <t>Description</t>
        </is>
      </c>
      <c r="D1" s="5" t="inlineStr">
        <is>
          <t>Amount</t>
        </is>
      </c>
    </row>
    <row r="2">
      <c r="A2" s="7" t="n">
        <v>46235</v>
      </c>
      <c r="B2" s="8" t="inlineStr">
        <is>
          <t>Rent / Mortgage</t>
        </is>
      </c>
      <c r="C2" s="8" t="inlineStr">
        <is>
          <t>Monthly rent</t>
        </is>
      </c>
      <c r="D2" s="9" t="n">
        <v>650</v>
      </c>
    </row>
    <row r="3">
      <c r="A3" s="7" t="n">
        <v>46236</v>
      </c>
      <c r="B3" s="8" t="inlineStr">
        <is>
          <t>Groceries</t>
        </is>
      </c>
      <c r="C3" s="8" t="inlineStr">
        <is>
          <t>Weekly shop</t>
        </is>
      </c>
      <c r="D3" s="9" t="n">
        <v>70</v>
      </c>
    </row>
    <row r="4">
      <c r="A4" s="7" t="n">
        <v>46237</v>
      </c>
      <c r="B4" s="8" t="inlineStr">
        <is>
          <t>Subscriptions</t>
        </is>
      </c>
      <c r="C4" s="8" t="inlineStr">
        <is>
          <t>Streaming</t>
        </is>
      </c>
      <c r="D4" s="9" t="n">
        <v>15</v>
      </c>
    </row>
    <row r="5">
      <c r="A5" s="7" t="n">
        <v>46238</v>
      </c>
      <c r="B5" s="8" t="inlineStr">
        <is>
          <t>Dining Out</t>
        </is>
      </c>
      <c r="C5" s="8" t="inlineStr">
        <is>
          <t>Dinner w/ friends</t>
        </is>
      </c>
      <c r="D5" s="9" t="n">
        <v>35</v>
      </c>
    </row>
    <row r="6">
      <c r="A6" s="7" t="n">
        <v>46239</v>
      </c>
      <c r="B6" s="8" t="inlineStr">
        <is>
          <t>Fuel</t>
        </is>
      </c>
      <c r="C6" s="8" t="inlineStr">
        <is>
          <t>Full tank</t>
        </is>
      </c>
      <c r="D6" s="9" t="n">
        <v>60</v>
      </c>
    </row>
    <row r="7">
      <c r="A7" s="7" t="n">
        <v>46240</v>
      </c>
      <c r="B7" s="8" t="inlineStr">
        <is>
          <t>Groceries</t>
        </is>
      </c>
      <c r="C7" s="8" t="inlineStr">
        <is>
          <t>Mid-week top up</t>
        </is>
      </c>
      <c r="D7" s="9" t="n">
        <v>40</v>
      </c>
    </row>
    <row r="8">
      <c r="A8" s="7" t="n">
        <v>46241</v>
      </c>
      <c r="B8" s="8" t="inlineStr">
        <is>
          <t>Utilities</t>
        </is>
      </c>
      <c r="C8" s="8" t="inlineStr">
        <is>
          <t>Electric + water</t>
        </is>
      </c>
      <c r="D8" s="9" t="n">
        <v>90</v>
      </c>
    </row>
    <row r="9">
      <c r="A9" s="7" t="n">
        <v>46243</v>
      </c>
      <c r="B9" s="8" t="inlineStr">
        <is>
          <t>Entertainment</t>
        </is>
      </c>
      <c r="C9" s="8" t="inlineStr">
        <is>
          <t>Cinema</t>
        </is>
      </c>
      <c r="D9" s="9" t="n">
        <v>18</v>
      </c>
    </row>
    <row r="10">
      <c r="A10" s="7" t="n">
        <v>46244</v>
      </c>
      <c r="B10" s="8" t="inlineStr">
        <is>
          <t>Shopping</t>
        </is>
      </c>
      <c r="C10" s="8" t="inlineStr">
        <is>
          <t>New shoes</t>
        </is>
      </c>
      <c r="D10" s="9" t="n">
        <v>80</v>
      </c>
    </row>
    <row r="11">
      <c r="A11" s="7" t="n">
        <v>46246</v>
      </c>
      <c r="B11" s="8" t="inlineStr">
        <is>
          <t>Health</t>
        </is>
      </c>
      <c r="C11" s="8" t="inlineStr">
        <is>
          <t>Gym membership</t>
        </is>
      </c>
      <c r="D11" s="9" t="n">
        <v>30</v>
      </c>
    </row>
    <row r="12">
      <c r="A12" s="7" t="n">
        <v>46248</v>
      </c>
      <c r="B12" s="8" t="inlineStr">
        <is>
          <t>Dining Out</t>
        </is>
      </c>
      <c r="C12" s="8" t="inlineStr">
        <is>
          <t>Lunch</t>
        </is>
      </c>
      <c r="D12" s="9" t="n">
        <v>14</v>
      </c>
    </row>
    <row r="13">
      <c r="A13" s="7" t="n">
        <v>46249</v>
      </c>
      <c r="B13" s="8" t="inlineStr">
        <is>
          <t>Transport</t>
        </is>
      </c>
      <c r="C13" s="8" t="inlineStr">
        <is>
          <t>Bus pass</t>
        </is>
      </c>
      <c r="D13" s="9" t="n">
        <v>25</v>
      </c>
    </row>
    <row r="14">
      <c r="A14" s="7" t="n"/>
      <c r="B14" s="8" t="n"/>
      <c r="C14" s="8" t="n"/>
      <c r="D14" s="9" t="n"/>
    </row>
    <row r="15">
      <c r="A15" s="7" t="n"/>
      <c r="B15" s="8" t="n"/>
      <c r="C15" s="8" t="n"/>
      <c r="D15" s="9" t="n"/>
    </row>
    <row r="16">
      <c r="A16" s="7" t="n"/>
      <c r="B16" s="8" t="n"/>
      <c r="C16" s="8" t="n"/>
      <c r="D16" s="9" t="n"/>
    </row>
    <row r="17">
      <c r="A17" s="7" t="n"/>
      <c r="B17" s="8" t="n"/>
      <c r="C17" s="8" t="n"/>
      <c r="D17" s="9" t="n"/>
    </row>
    <row r="18">
      <c r="A18" s="7" t="n"/>
      <c r="B18" s="8" t="n"/>
      <c r="C18" s="8" t="n"/>
      <c r="D18" s="9" t="n"/>
    </row>
    <row r="19">
      <c r="A19" s="7" t="n"/>
      <c r="B19" s="8" t="n"/>
      <c r="C19" s="8" t="n"/>
      <c r="D19" s="9" t="n"/>
    </row>
    <row r="20">
      <c r="A20" s="7" t="n"/>
      <c r="B20" s="8" t="n"/>
      <c r="C20" s="8" t="n"/>
      <c r="D20" s="9" t="n"/>
    </row>
    <row r="21">
      <c r="A21" s="7" t="n"/>
      <c r="B21" s="8" t="n"/>
      <c r="C21" s="8" t="n"/>
      <c r="D21" s="9" t="n"/>
    </row>
    <row r="22">
      <c r="A22" s="7" t="n"/>
      <c r="B22" s="8" t="n"/>
      <c r="C22" s="8" t="n"/>
      <c r="D22" s="9" t="n"/>
    </row>
    <row r="23">
      <c r="A23" s="7" t="n"/>
      <c r="B23" s="8" t="n"/>
      <c r="C23" s="8" t="n"/>
      <c r="D23" s="9" t="n"/>
    </row>
    <row r="24">
      <c r="A24" s="7" t="n"/>
      <c r="B24" s="8" t="n"/>
      <c r="C24" s="8" t="n"/>
      <c r="D24" s="9" t="n"/>
    </row>
    <row r="25">
      <c r="A25" s="7" t="n"/>
      <c r="B25" s="8" t="n"/>
      <c r="C25" s="8" t="n"/>
      <c r="D25" s="9" t="n"/>
    </row>
    <row r="26">
      <c r="A26" s="7" t="n"/>
      <c r="B26" s="8" t="n"/>
      <c r="C26" s="8" t="n"/>
      <c r="D26" s="9" t="n"/>
    </row>
    <row r="27">
      <c r="A27" s="7" t="n"/>
      <c r="B27" s="8" t="n"/>
      <c r="C27" s="8" t="n"/>
      <c r="D27" s="9" t="n"/>
    </row>
    <row r="28">
      <c r="A28" s="7" t="n"/>
      <c r="B28" s="8" t="n"/>
      <c r="C28" s="8" t="n"/>
      <c r="D28" s="9" t="n"/>
    </row>
    <row r="29">
      <c r="A29" s="7" t="n"/>
      <c r="B29" s="8" t="n"/>
      <c r="C29" s="8" t="n"/>
      <c r="D29" s="9" t="n"/>
    </row>
    <row r="30">
      <c r="A30" s="7" t="n"/>
      <c r="B30" s="8" t="n"/>
      <c r="C30" s="8" t="n"/>
      <c r="D30" s="9" t="n"/>
    </row>
    <row r="31">
      <c r="A31" s="7" t="n"/>
      <c r="B31" s="8" t="n"/>
      <c r="C31" s="8" t="n"/>
      <c r="D31" s="9" t="n"/>
    </row>
    <row r="32">
      <c r="A32" s="7" t="n"/>
      <c r="B32" s="8" t="n"/>
      <c r="C32" s="8" t="n"/>
      <c r="D32" s="9" t="n"/>
    </row>
    <row r="33">
      <c r="A33" s="7" t="n"/>
      <c r="B33" s="8" t="n"/>
      <c r="C33" s="8" t="n"/>
      <c r="D33" s="9" t="n"/>
    </row>
    <row r="34">
      <c r="A34" s="7" t="n"/>
      <c r="B34" s="8" t="n"/>
      <c r="C34" s="8" t="n"/>
      <c r="D34" s="9" t="n"/>
    </row>
    <row r="35">
      <c r="A35" s="7" t="n"/>
      <c r="B35" s="8" t="n"/>
      <c r="C35" s="8" t="n"/>
      <c r="D35" s="9" t="n"/>
    </row>
    <row r="36">
      <c r="A36" s="7" t="n"/>
      <c r="B36" s="8" t="n"/>
      <c r="C36" s="8" t="n"/>
      <c r="D36" s="9" t="n"/>
    </row>
    <row r="37">
      <c r="A37" s="7" t="n"/>
      <c r="B37" s="8" t="n"/>
      <c r="C37" s="8" t="n"/>
      <c r="D37" s="9" t="n"/>
    </row>
    <row r="38">
      <c r="A38" s="7" t="n"/>
      <c r="B38" s="8" t="n"/>
      <c r="C38" s="8" t="n"/>
      <c r="D38" s="9" t="n"/>
    </row>
    <row r="39">
      <c r="A39" s="7" t="n"/>
      <c r="B39" s="8" t="n"/>
      <c r="C39" s="8" t="n"/>
      <c r="D39" s="9" t="n"/>
    </row>
    <row r="40">
      <c r="A40" s="7" t="n"/>
      <c r="B40" s="8" t="n"/>
      <c r="C40" s="8" t="n"/>
      <c r="D40" s="9" t="n"/>
    </row>
    <row r="41">
      <c r="A41" s="7" t="n"/>
      <c r="B41" s="8" t="n"/>
      <c r="C41" s="8" t="n"/>
      <c r="D41" s="9" t="n"/>
    </row>
    <row r="42">
      <c r="A42" s="7" t="n"/>
      <c r="B42" s="8" t="n"/>
      <c r="C42" s="8" t="n"/>
      <c r="D42" s="9" t="n"/>
    </row>
    <row r="43">
      <c r="A43" s="7" t="n"/>
      <c r="B43" s="8" t="n"/>
      <c r="C43" s="8" t="n"/>
      <c r="D43" s="9" t="n"/>
    </row>
    <row r="44">
      <c r="A44" s="7" t="n"/>
      <c r="B44" s="8" t="n"/>
      <c r="C44" s="8" t="n"/>
      <c r="D44" s="9" t="n"/>
    </row>
    <row r="45">
      <c r="A45" s="7" t="n"/>
      <c r="B45" s="8" t="n"/>
      <c r="C45" s="8" t="n"/>
      <c r="D45" s="9" t="n"/>
    </row>
    <row r="46">
      <c r="A46" s="7" t="n"/>
      <c r="B46" s="8" t="n"/>
      <c r="C46" s="8" t="n"/>
      <c r="D46" s="9" t="n"/>
    </row>
    <row r="47">
      <c r="A47" s="7" t="n"/>
      <c r="B47" s="8" t="n"/>
      <c r="C47" s="8" t="n"/>
      <c r="D47" s="9" t="n"/>
    </row>
    <row r="48">
      <c r="A48" s="7" t="n"/>
      <c r="B48" s="8" t="n"/>
      <c r="C48" s="8" t="n"/>
      <c r="D48" s="9" t="n"/>
    </row>
    <row r="49">
      <c r="A49" s="7" t="n"/>
      <c r="B49" s="8" t="n"/>
      <c r="C49" s="8" t="n"/>
      <c r="D49" s="9" t="n"/>
    </row>
    <row r="50">
      <c r="A50" s="7" t="n"/>
      <c r="B50" s="8" t="n"/>
      <c r="C50" s="8" t="n"/>
      <c r="D50" s="9" t="n"/>
    </row>
    <row r="51">
      <c r="A51" s="7" t="n"/>
      <c r="B51" s="8" t="n"/>
      <c r="C51" s="8" t="n"/>
      <c r="D51" s="9" t="n"/>
    </row>
    <row r="52">
      <c r="A52" s="7" t="n"/>
      <c r="B52" s="8" t="n"/>
      <c r="C52" s="8" t="n"/>
      <c r="D52" s="9" t="n"/>
    </row>
    <row r="53">
      <c r="A53" s="7" t="n"/>
      <c r="B53" s="8" t="n"/>
      <c r="C53" s="8" t="n"/>
      <c r="D53" s="9" t="n"/>
    </row>
    <row r="54">
      <c r="A54" s="7" t="n"/>
      <c r="B54" s="8" t="n"/>
      <c r="C54" s="8" t="n"/>
      <c r="D54" s="9" t="n"/>
    </row>
    <row r="55">
      <c r="A55" s="7" t="n"/>
      <c r="B55" s="8" t="n"/>
      <c r="C55" s="8" t="n"/>
      <c r="D55" s="9" t="n"/>
    </row>
    <row r="56">
      <c r="A56" s="7" t="n"/>
      <c r="B56" s="8" t="n"/>
      <c r="C56" s="8" t="n"/>
      <c r="D56" s="9" t="n"/>
    </row>
    <row r="57">
      <c r="A57" s="7" t="n"/>
      <c r="B57" s="8" t="n"/>
      <c r="C57" s="8" t="n"/>
      <c r="D57" s="9" t="n"/>
    </row>
    <row r="58">
      <c r="A58" s="7" t="n"/>
      <c r="B58" s="8" t="n"/>
      <c r="C58" s="8" t="n"/>
      <c r="D58" s="9" t="n"/>
    </row>
    <row r="59">
      <c r="A59" s="7" t="n"/>
      <c r="B59" s="8" t="n"/>
      <c r="C59" s="8" t="n"/>
      <c r="D59" s="9" t="n"/>
    </row>
    <row r="60">
      <c r="A60" s="7" t="n"/>
      <c r="B60" s="8" t="n"/>
      <c r="C60" s="8" t="n"/>
      <c r="D60" s="9" t="n"/>
    </row>
    <row r="61">
      <c r="A61" s="7" t="n"/>
      <c r="B61" s="8" t="n"/>
      <c r="C61" s="8" t="n"/>
      <c r="D61" s="9" t="n"/>
    </row>
    <row r="62">
      <c r="A62" s="7" t="n"/>
      <c r="B62" s="8" t="n"/>
      <c r="C62" s="8" t="n"/>
      <c r="D62" s="9" t="n"/>
    </row>
    <row r="63">
      <c r="A63" s="7" t="n"/>
      <c r="B63" s="8" t="n"/>
      <c r="C63" s="8" t="n"/>
      <c r="D63" s="9" t="n"/>
    </row>
    <row r="64">
      <c r="A64" s="7" t="n"/>
      <c r="B64" s="8" t="n"/>
      <c r="C64" s="8" t="n"/>
      <c r="D64" s="9" t="n"/>
    </row>
    <row r="65">
      <c r="A65" s="7" t="n"/>
      <c r="B65" s="8" t="n"/>
      <c r="C65" s="8" t="n"/>
      <c r="D65" s="9" t="n"/>
    </row>
    <row r="66">
      <c r="A66" s="7" t="n"/>
      <c r="B66" s="8" t="n"/>
      <c r="C66" s="8" t="n"/>
      <c r="D66" s="9" t="n"/>
    </row>
    <row r="67">
      <c r="A67" s="7" t="n"/>
      <c r="B67" s="8" t="n"/>
      <c r="C67" s="8" t="n"/>
      <c r="D67" s="9" t="n"/>
    </row>
    <row r="68">
      <c r="A68" s="7" t="n"/>
      <c r="B68" s="8" t="n"/>
      <c r="C68" s="8" t="n"/>
      <c r="D68" s="9" t="n"/>
    </row>
    <row r="69">
      <c r="A69" s="7" t="n"/>
      <c r="B69" s="8" t="n"/>
      <c r="C69" s="8" t="n"/>
      <c r="D69" s="9" t="n"/>
    </row>
    <row r="70">
      <c r="A70" s="7" t="n"/>
      <c r="B70" s="8" t="n"/>
      <c r="C70" s="8" t="n"/>
      <c r="D70" s="9" t="n"/>
    </row>
    <row r="71">
      <c r="A71" s="7" t="n"/>
      <c r="B71" s="8" t="n"/>
      <c r="C71" s="8" t="n"/>
      <c r="D71" s="9" t="n"/>
    </row>
    <row r="72">
      <c r="A72" s="7" t="n"/>
      <c r="B72" s="8" t="n"/>
      <c r="C72" s="8" t="n"/>
      <c r="D72" s="9" t="n"/>
    </row>
    <row r="73">
      <c r="A73" s="7" t="n"/>
      <c r="B73" s="8" t="n"/>
      <c r="C73" s="8" t="n"/>
      <c r="D73" s="9" t="n"/>
    </row>
    <row r="74">
      <c r="A74" s="7" t="n"/>
      <c r="B74" s="8" t="n"/>
      <c r="C74" s="8" t="n"/>
      <c r="D74" s="9" t="n"/>
    </row>
    <row r="75">
      <c r="A75" s="7" t="n"/>
      <c r="B75" s="8" t="n"/>
      <c r="C75" s="8" t="n"/>
      <c r="D75" s="9" t="n"/>
    </row>
    <row r="76">
      <c r="A76" s="7" t="n"/>
      <c r="B76" s="8" t="n"/>
      <c r="C76" s="8" t="n"/>
      <c r="D76" s="9" t="n"/>
    </row>
    <row r="77">
      <c r="A77" s="7" t="n"/>
      <c r="B77" s="8" t="n"/>
      <c r="C77" s="8" t="n"/>
      <c r="D77" s="9" t="n"/>
    </row>
    <row r="78">
      <c r="A78" s="7" t="n"/>
      <c r="B78" s="8" t="n"/>
      <c r="C78" s="8" t="n"/>
      <c r="D78" s="9" t="n"/>
    </row>
    <row r="79">
      <c r="A79" s="7" t="n"/>
      <c r="B79" s="8" t="n"/>
      <c r="C79" s="8" t="n"/>
      <c r="D79" s="9" t="n"/>
    </row>
    <row r="80">
      <c r="A80" s="7" t="n"/>
      <c r="B80" s="8" t="n"/>
      <c r="C80" s="8" t="n"/>
      <c r="D80" s="9" t="n"/>
    </row>
    <row r="81">
      <c r="A81" s="7" t="n"/>
      <c r="B81" s="8" t="n"/>
      <c r="C81" s="8" t="n"/>
      <c r="D81" s="9" t="n"/>
    </row>
    <row r="82">
      <c r="A82" s="7" t="n"/>
      <c r="B82" s="8" t="n"/>
      <c r="C82" s="8" t="n"/>
      <c r="D82" s="9" t="n"/>
    </row>
    <row r="83">
      <c r="A83" s="7" t="n"/>
      <c r="B83" s="8" t="n"/>
      <c r="C83" s="8" t="n"/>
      <c r="D83" s="9" t="n"/>
    </row>
    <row r="84">
      <c r="A84" s="7" t="n"/>
      <c r="B84" s="8" t="n"/>
      <c r="C84" s="8" t="n"/>
      <c r="D84" s="9" t="n"/>
    </row>
    <row r="85">
      <c r="A85" s="7" t="n"/>
      <c r="B85" s="8" t="n"/>
      <c r="C85" s="8" t="n"/>
      <c r="D85" s="9" t="n"/>
    </row>
    <row r="86">
      <c r="A86" s="7" t="n"/>
      <c r="B86" s="8" t="n"/>
      <c r="C86" s="8" t="n"/>
      <c r="D86" s="9" t="n"/>
    </row>
    <row r="87">
      <c r="A87" s="7" t="n"/>
      <c r="B87" s="8" t="n"/>
      <c r="C87" s="8" t="n"/>
      <c r="D87" s="9" t="n"/>
    </row>
    <row r="88">
      <c r="A88" s="7" t="n"/>
      <c r="B88" s="8" t="n"/>
      <c r="C88" s="8" t="n"/>
      <c r="D88" s="9" t="n"/>
    </row>
    <row r="89">
      <c r="A89" s="7" t="n"/>
      <c r="B89" s="8" t="n"/>
      <c r="C89" s="8" t="n"/>
      <c r="D89" s="9" t="n"/>
    </row>
    <row r="90">
      <c r="A90" s="7" t="n"/>
      <c r="B90" s="8" t="n"/>
      <c r="C90" s="8" t="n"/>
      <c r="D90" s="9" t="n"/>
    </row>
    <row r="91">
      <c r="A91" s="7" t="n"/>
      <c r="B91" s="8" t="n"/>
      <c r="C91" s="8" t="n"/>
      <c r="D91" s="9" t="n"/>
    </row>
    <row r="92">
      <c r="A92" s="7" t="n"/>
      <c r="B92" s="8" t="n"/>
      <c r="C92" s="8" t="n"/>
      <c r="D92" s="9" t="n"/>
    </row>
    <row r="93">
      <c r="A93" s="7" t="n"/>
      <c r="B93" s="8" t="n"/>
      <c r="C93" s="8" t="n"/>
      <c r="D93" s="9" t="n"/>
    </row>
    <row r="94">
      <c r="A94" s="7" t="n"/>
      <c r="B94" s="8" t="n"/>
      <c r="C94" s="8" t="n"/>
      <c r="D94" s="9" t="n"/>
    </row>
    <row r="95">
      <c r="A95" s="7" t="n"/>
      <c r="B95" s="8" t="n"/>
      <c r="C95" s="8" t="n"/>
      <c r="D95" s="9" t="n"/>
    </row>
    <row r="96">
      <c r="A96" s="7" t="n"/>
      <c r="B96" s="8" t="n"/>
      <c r="C96" s="8" t="n"/>
      <c r="D96" s="9" t="n"/>
    </row>
    <row r="97">
      <c r="A97" s="7" t="n"/>
      <c r="B97" s="8" t="n"/>
      <c r="C97" s="8" t="n"/>
      <c r="D97" s="9" t="n"/>
    </row>
    <row r="98">
      <c r="A98" s="7" t="n"/>
      <c r="B98" s="8" t="n"/>
      <c r="C98" s="8" t="n"/>
      <c r="D98" s="9" t="n"/>
    </row>
    <row r="99">
      <c r="A99" s="7" t="n"/>
      <c r="B99" s="8" t="n"/>
      <c r="C99" s="8" t="n"/>
      <c r="D99" s="9" t="n"/>
    </row>
    <row r="100">
      <c r="A100" s="7" t="n"/>
      <c r="B100" s="8" t="n"/>
      <c r="C100" s="8" t="n"/>
      <c r="D100" s="9" t="n"/>
    </row>
    <row r="101">
      <c r="A101" s="7" t="n"/>
      <c r="B101" s="8" t="n"/>
      <c r="C101" s="8" t="n"/>
      <c r="D101" s="9" t="n"/>
    </row>
    <row r="102">
      <c r="A102" s="7" t="n"/>
      <c r="B102" s="8" t="n"/>
      <c r="C102" s="8" t="n"/>
      <c r="D102" s="9" t="n"/>
    </row>
    <row r="103">
      <c r="A103" s="7" t="n"/>
      <c r="B103" s="8" t="n"/>
      <c r="C103" s="8" t="n"/>
      <c r="D103" s="9" t="n"/>
    </row>
    <row r="104">
      <c r="A104" s="7" t="n"/>
      <c r="B104" s="8" t="n"/>
      <c r="C104" s="8" t="n"/>
      <c r="D104" s="9" t="n"/>
    </row>
    <row r="105">
      <c r="A105" s="7" t="n"/>
      <c r="B105" s="8" t="n"/>
      <c r="C105" s="8" t="n"/>
      <c r="D105" s="9" t="n"/>
    </row>
    <row r="106">
      <c r="A106" s="7" t="n"/>
      <c r="B106" s="8" t="n"/>
      <c r="C106" s="8" t="n"/>
      <c r="D106" s="9" t="n"/>
    </row>
    <row r="107">
      <c r="A107" s="7" t="n"/>
      <c r="B107" s="8" t="n"/>
      <c r="C107" s="8" t="n"/>
      <c r="D107" s="9" t="n"/>
    </row>
    <row r="108">
      <c r="A108" s="7" t="n"/>
      <c r="B108" s="8" t="n"/>
      <c r="C108" s="8" t="n"/>
      <c r="D108" s="9" t="n"/>
    </row>
    <row r="109">
      <c r="A109" s="7" t="n"/>
      <c r="B109" s="8" t="n"/>
      <c r="C109" s="8" t="n"/>
      <c r="D109" s="9" t="n"/>
    </row>
    <row r="110">
      <c r="A110" s="7" t="n"/>
      <c r="B110" s="8" t="n"/>
      <c r="C110" s="8" t="n"/>
      <c r="D110" s="9" t="n"/>
    </row>
    <row r="111">
      <c r="A111" s="7" t="n"/>
      <c r="B111" s="8" t="n"/>
      <c r="C111" s="8" t="n"/>
      <c r="D111" s="9" t="n"/>
    </row>
    <row r="112">
      <c r="A112" s="7" t="n"/>
      <c r="B112" s="8" t="n"/>
      <c r="C112" s="8" t="n"/>
      <c r="D112" s="9" t="n"/>
    </row>
    <row r="113">
      <c r="A113" s="7" t="n"/>
      <c r="B113" s="8" t="n"/>
      <c r="C113" s="8" t="n"/>
      <c r="D113" s="9" t="n"/>
    </row>
    <row r="114">
      <c r="A114" s="7" t="n"/>
      <c r="B114" s="8" t="n"/>
      <c r="C114" s="8" t="n"/>
      <c r="D114" s="9" t="n"/>
    </row>
    <row r="115">
      <c r="A115" s="7" t="n"/>
      <c r="B115" s="8" t="n"/>
      <c r="C115" s="8" t="n"/>
      <c r="D115" s="9" t="n"/>
    </row>
    <row r="116">
      <c r="A116" s="7" t="n"/>
      <c r="B116" s="8" t="n"/>
      <c r="C116" s="8" t="n"/>
      <c r="D116" s="9" t="n"/>
    </row>
    <row r="117">
      <c r="A117" s="7" t="n"/>
      <c r="B117" s="8" t="n"/>
      <c r="C117" s="8" t="n"/>
      <c r="D117" s="9" t="n"/>
    </row>
    <row r="118">
      <c r="A118" s="7" t="n"/>
      <c r="B118" s="8" t="n"/>
      <c r="C118" s="8" t="n"/>
      <c r="D118" s="9" t="n"/>
    </row>
    <row r="119">
      <c r="A119" s="7" t="n"/>
      <c r="B119" s="8" t="n"/>
      <c r="C119" s="8" t="n"/>
      <c r="D119" s="9" t="n"/>
    </row>
    <row r="120">
      <c r="A120" s="7" t="n"/>
      <c r="B120" s="8" t="n"/>
      <c r="C120" s="8" t="n"/>
      <c r="D120" s="9" t="n"/>
    </row>
    <row r="121">
      <c r="A121" s="7" t="n"/>
      <c r="B121" s="8" t="n"/>
      <c r="C121" s="8" t="n"/>
      <c r="D121" s="9" t="n"/>
    </row>
    <row r="122">
      <c r="A122" s="7" t="n"/>
      <c r="B122" s="8" t="n"/>
      <c r="C122" s="8" t="n"/>
      <c r="D122" s="9" t="n"/>
    </row>
    <row r="123">
      <c r="A123" s="7" t="n"/>
      <c r="B123" s="8" t="n"/>
      <c r="C123" s="8" t="n"/>
      <c r="D123" s="9" t="n"/>
    </row>
    <row r="124">
      <c r="A124" s="7" t="n"/>
      <c r="B124" s="8" t="n"/>
      <c r="C124" s="8" t="n"/>
      <c r="D124" s="9" t="n"/>
    </row>
    <row r="125">
      <c r="A125" s="7" t="n"/>
      <c r="B125" s="8" t="n"/>
      <c r="C125" s="8" t="n"/>
      <c r="D125" s="9" t="n"/>
    </row>
    <row r="126">
      <c r="A126" s="7" t="n"/>
      <c r="B126" s="8" t="n"/>
      <c r="C126" s="8" t="n"/>
      <c r="D126" s="9" t="n"/>
    </row>
    <row r="127">
      <c r="A127" s="7" t="n"/>
      <c r="B127" s="8" t="n"/>
      <c r="C127" s="8" t="n"/>
      <c r="D127" s="9" t="n"/>
    </row>
    <row r="128">
      <c r="A128" s="7" t="n"/>
      <c r="B128" s="8" t="n"/>
      <c r="C128" s="8" t="n"/>
      <c r="D128" s="9" t="n"/>
    </row>
    <row r="129">
      <c r="A129" s="7" t="n"/>
      <c r="B129" s="8" t="n"/>
      <c r="C129" s="8" t="n"/>
      <c r="D129" s="9" t="n"/>
    </row>
    <row r="130">
      <c r="A130" s="7" t="n"/>
      <c r="B130" s="8" t="n"/>
      <c r="C130" s="8" t="n"/>
      <c r="D130" s="9" t="n"/>
    </row>
    <row r="131">
      <c r="A131" s="7" t="n"/>
      <c r="B131" s="8" t="n"/>
      <c r="C131" s="8" t="n"/>
      <c r="D131" s="9" t="n"/>
    </row>
    <row r="132">
      <c r="A132" s="7" t="n"/>
      <c r="B132" s="8" t="n"/>
      <c r="C132" s="8" t="n"/>
      <c r="D132" s="9" t="n"/>
    </row>
    <row r="133">
      <c r="A133" s="7" t="n"/>
      <c r="B133" s="8" t="n"/>
      <c r="C133" s="8" t="n"/>
      <c r="D133" s="9" t="n"/>
    </row>
    <row r="134">
      <c r="A134" s="7" t="n"/>
      <c r="B134" s="8" t="n"/>
      <c r="C134" s="8" t="n"/>
      <c r="D134" s="9" t="n"/>
    </row>
    <row r="135">
      <c r="A135" s="7" t="n"/>
      <c r="B135" s="8" t="n"/>
      <c r="C135" s="8" t="n"/>
      <c r="D135" s="9" t="n"/>
    </row>
    <row r="136">
      <c r="A136" s="7" t="n"/>
      <c r="B136" s="8" t="n"/>
      <c r="C136" s="8" t="n"/>
      <c r="D136" s="9" t="n"/>
    </row>
    <row r="137">
      <c r="A137" s="7" t="n"/>
      <c r="B137" s="8" t="n"/>
      <c r="C137" s="8" t="n"/>
      <c r="D137" s="9" t="n"/>
    </row>
    <row r="138">
      <c r="A138" s="7" t="n"/>
      <c r="B138" s="8" t="n"/>
      <c r="C138" s="8" t="n"/>
      <c r="D138" s="9" t="n"/>
    </row>
    <row r="139">
      <c r="A139" s="7" t="n"/>
      <c r="B139" s="8" t="n"/>
      <c r="C139" s="8" t="n"/>
      <c r="D139" s="9" t="n"/>
    </row>
    <row r="140">
      <c r="A140" s="7" t="n"/>
      <c r="B140" s="8" t="n"/>
      <c r="C140" s="8" t="n"/>
      <c r="D140" s="9" t="n"/>
    </row>
    <row r="141">
      <c r="A141" s="7" t="n"/>
      <c r="B141" s="8" t="n"/>
      <c r="C141" s="8" t="n"/>
      <c r="D141" s="9" t="n"/>
    </row>
    <row r="142">
      <c r="A142" s="7" t="n"/>
      <c r="B142" s="8" t="n"/>
      <c r="C142" s="8" t="n"/>
      <c r="D142" s="9" t="n"/>
    </row>
    <row r="143">
      <c r="A143" s="7" t="n"/>
      <c r="B143" s="8" t="n"/>
      <c r="C143" s="8" t="n"/>
      <c r="D143" s="9" t="n"/>
    </row>
    <row r="144">
      <c r="A144" s="7" t="n"/>
      <c r="B144" s="8" t="n"/>
      <c r="C144" s="8" t="n"/>
      <c r="D144" s="9" t="n"/>
    </row>
    <row r="145">
      <c r="A145" s="7" t="n"/>
      <c r="B145" s="8" t="n"/>
      <c r="C145" s="8" t="n"/>
      <c r="D145" s="9" t="n"/>
    </row>
    <row r="146">
      <c r="A146" s="7" t="n"/>
      <c r="B146" s="8" t="n"/>
      <c r="C146" s="8" t="n"/>
      <c r="D146" s="9" t="n"/>
    </row>
    <row r="147">
      <c r="A147" s="7" t="n"/>
      <c r="B147" s="8" t="n"/>
      <c r="C147" s="8" t="n"/>
      <c r="D147" s="9" t="n"/>
    </row>
    <row r="148">
      <c r="A148" s="7" t="n"/>
      <c r="B148" s="8" t="n"/>
      <c r="C148" s="8" t="n"/>
      <c r="D148" s="9" t="n"/>
    </row>
    <row r="149">
      <c r="A149" s="7" t="n"/>
      <c r="B149" s="8" t="n"/>
      <c r="C149" s="8" t="n"/>
      <c r="D149" s="9" t="n"/>
    </row>
    <row r="150">
      <c r="A150" s="7" t="n"/>
      <c r="B150" s="8" t="n"/>
      <c r="C150" s="8" t="n"/>
      <c r="D150" s="9" t="n"/>
    </row>
    <row r="151">
      <c r="A151" s="7" t="n"/>
      <c r="B151" s="8" t="n"/>
      <c r="C151" s="8" t="n"/>
      <c r="D151" s="9" t="n"/>
    </row>
    <row r="152">
      <c r="A152" s="7" t="n"/>
      <c r="B152" s="8" t="n"/>
      <c r="C152" s="8" t="n"/>
      <c r="D152" s="9" t="n"/>
    </row>
    <row r="153">
      <c r="A153" s="7" t="n"/>
      <c r="B153" s="8" t="n"/>
      <c r="C153" s="8" t="n"/>
      <c r="D153" s="9" t="n"/>
    </row>
    <row r="154">
      <c r="A154" s="7" t="n"/>
      <c r="B154" s="8" t="n"/>
      <c r="C154" s="8" t="n"/>
      <c r="D154" s="9" t="n"/>
    </row>
    <row r="155">
      <c r="A155" s="7" t="n"/>
      <c r="B155" s="8" t="n"/>
      <c r="C155" s="8" t="n"/>
      <c r="D155" s="9" t="n"/>
    </row>
    <row r="156">
      <c r="A156" s="7" t="n"/>
      <c r="B156" s="8" t="n"/>
      <c r="C156" s="8" t="n"/>
      <c r="D156" s="9" t="n"/>
    </row>
    <row r="157">
      <c r="A157" s="7" t="n"/>
      <c r="B157" s="8" t="n"/>
      <c r="C157" s="8" t="n"/>
      <c r="D157" s="9" t="n"/>
    </row>
    <row r="158">
      <c r="A158" s="7" t="n"/>
      <c r="B158" s="8" t="n"/>
      <c r="C158" s="8" t="n"/>
      <c r="D158" s="9" t="n"/>
    </row>
    <row r="159">
      <c r="A159" s="7" t="n"/>
      <c r="B159" s="8" t="n"/>
      <c r="C159" s="8" t="n"/>
      <c r="D159" s="9" t="n"/>
    </row>
    <row r="160">
      <c r="A160" s="7" t="n"/>
      <c r="B160" s="8" t="n"/>
      <c r="C160" s="8" t="n"/>
      <c r="D160" s="9" t="n"/>
    </row>
    <row r="161">
      <c r="A161" s="7" t="n"/>
      <c r="B161" s="8" t="n"/>
      <c r="C161" s="8" t="n"/>
      <c r="D161" s="9" t="n"/>
    </row>
    <row r="162">
      <c r="A162" s="7" t="n"/>
      <c r="B162" s="8" t="n"/>
      <c r="C162" s="8" t="n"/>
      <c r="D162" s="9" t="n"/>
    </row>
    <row r="163">
      <c r="A163" s="7" t="n"/>
      <c r="B163" s="8" t="n"/>
      <c r="C163" s="8" t="n"/>
      <c r="D163" s="9" t="n"/>
    </row>
    <row r="164">
      <c r="A164" s="7" t="n"/>
      <c r="B164" s="8" t="n"/>
      <c r="C164" s="8" t="n"/>
      <c r="D164" s="9" t="n"/>
    </row>
    <row r="165">
      <c r="A165" s="7" t="n"/>
      <c r="B165" s="8" t="n"/>
      <c r="C165" s="8" t="n"/>
      <c r="D165" s="9" t="n"/>
    </row>
    <row r="166">
      <c r="A166" s="7" t="n"/>
      <c r="B166" s="8" t="n"/>
      <c r="C166" s="8" t="n"/>
      <c r="D166" s="9" t="n"/>
    </row>
    <row r="167">
      <c r="A167" s="7" t="n"/>
      <c r="B167" s="8" t="n"/>
      <c r="C167" s="8" t="n"/>
      <c r="D167" s="9" t="n"/>
    </row>
    <row r="168">
      <c r="A168" s="7" t="n"/>
      <c r="B168" s="8" t="n"/>
      <c r="C168" s="8" t="n"/>
      <c r="D168" s="9" t="n"/>
    </row>
    <row r="169">
      <c r="A169" s="7" t="n"/>
      <c r="B169" s="8" t="n"/>
      <c r="C169" s="8" t="n"/>
      <c r="D169" s="9" t="n"/>
    </row>
    <row r="170">
      <c r="A170" s="7" t="n"/>
      <c r="B170" s="8" t="n"/>
      <c r="C170" s="8" t="n"/>
      <c r="D170" s="9" t="n"/>
    </row>
    <row r="171">
      <c r="A171" s="7" t="n"/>
      <c r="B171" s="8" t="n"/>
      <c r="C171" s="8" t="n"/>
      <c r="D171" s="9" t="n"/>
    </row>
    <row r="172">
      <c r="A172" s="7" t="n"/>
      <c r="B172" s="8" t="n"/>
      <c r="C172" s="8" t="n"/>
      <c r="D172" s="9" t="n"/>
    </row>
    <row r="173">
      <c r="A173" s="7" t="n"/>
      <c r="B173" s="8" t="n"/>
      <c r="C173" s="8" t="n"/>
      <c r="D173" s="9" t="n"/>
    </row>
    <row r="174">
      <c r="A174" s="7" t="n"/>
      <c r="B174" s="8" t="n"/>
      <c r="C174" s="8" t="n"/>
      <c r="D174" s="9" t="n"/>
    </row>
    <row r="175">
      <c r="A175" s="7" t="n"/>
      <c r="B175" s="8" t="n"/>
      <c r="C175" s="8" t="n"/>
      <c r="D175" s="9" t="n"/>
    </row>
    <row r="176">
      <c r="A176" s="7" t="n"/>
      <c r="B176" s="8" t="n"/>
      <c r="C176" s="8" t="n"/>
      <c r="D176" s="9" t="n"/>
    </row>
    <row r="177">
      <c r="A177" s="7" t="n"/>
      <c r="B177" s="8" t="n"/>
      <c r="C177" s="8" t="n"/>
      <c r="D177" s="9" t="n"/>
    </row>
    <row r="178">
      <c r="A178" s="7" t="n"/>
      <c r="B178" s="8" t="n"/>
      <c r="C178" s="8" t="n"/>
      <c r="D178" s="9" t="n"/>
    </row>
    <row r="179">
      <c r="A179" s="7" t="n"/>
      <c r="B179" s="8" t="n"/>
      <c r="C179" s="8" t="n"/>
      <c r="D179" s="9" t="n"/>
    </row>
    <row r="180">
      <c r="A180" s="7" t="n"/>
      <c r="B180" s="8" t="n"/>
      <c r="C180" s="8" t="n"/>
      <c r="D180" s="9" t="n"/>
    </row>
    <row r="181">
      <c r="A181" s="7" t="n"/>
      <c r="B181" s="8" t="n"/>
      <c r="C181" s="8" t="n"/>
      <c r="D181" s="9" t="n"/>
    </row>
    <row r="182">
      <c r="A182" s="7" t="n"/>
      <c r="B182" s="8" t="n"/>
      <c r="C182" s="8" t="n"/>
      <c r="D182" s="9" t="n"/>
    </row>
    <row r="183">
      <c r="A183" s="7" t="n"/>
      <c r="B183" s="8" t="n"/>
      <c r="C183" s="8" t="n"/>
      <c r="D183" s="9" t="n"/>
    </row>
    <row r="184">
      <c r="A184" s="7" t="n"/>
      <c r="B184" s="8" t="n"/>
      <c r="C184" s="8" t="n"/>
      <c r="D184" s="9" t="n"/>
    </row>
    <row r="185">
      <c r="A185" s="7" t="n"/>
      <c r="B185" s="8" t="n"/>
      <c r="C185" s="8" t="n"/>
      <c r="D185" s="9" t="n"/>
    </row>
    <row r="186">
      <c r="A186" s="7" t="n"/>
      <c r="B186" s="8" t="n"/>
      <c r="C186" s="8" t="n"/>
      <c r="D186" s="9" t="n"/>
    </row>
    <row r="187">
      <c r="A187" s="7" t="n"/>
      <c r="B187" s="8" t="n"/>
      <c r="C187" s="8" t="n"/>
      <c r="D187" s="9" t="n"/>
    </row>
    <row r="188">
      <c r="A188" s="7" t="n"/>
      <c r="B188" s="8" t="n"/>
      <c r="C188" s="8" t="n"/>
      <c r="D188" s="9" t="n"/>
    </row>
    <row r="189">
      <c r="A189" s="7" t="n"/>
      <c r="B189" s="8" t="n"/>
      <c r="C189" s="8" t="n"/>
      <c r="D189" s="9" t="n"/>
    </row>
    <row r="190">
      <c r="A190" s="7" t="n"/>
      <c r="B190" s="8" t="n"/>
      <c r="C190" s="8" t="n"/>
      <c r="D190" s="9" t="n"/>
    </row>
    <row r="191">
      <c r="A191" s="7" t="n"/>
      <c r="B191" s="8" t="n"/>
      <c r="C191" s="8" t="n"/>
      <c r="D191" s="9" t="n"/>
    </row>
    <row r="192">
      <c r="A192" s="7" t="n"/>
      <c r="B192" s="8" t="n"/>
      <c r="C192" s="8" t="n"/>
      <c r="D192" s="9" t="n"/>
    </row>
    <row r="193">
      <c r="A193" s="7" t="n"/>
      <c r="B193" s="8" t="n"/>
      <c r="C193" s="8" t="n"/>
      <c r="D193" s="9" t="n"/>
    </row>
    <row r="194">
      <c r="A194" s="7" t="n"/>
      <c r="B194" s="8" t="n"/>
      <c r="C194" s="8" t="n"/>
      <c r="D194" s="9" t="n"/>
    </row>
    <row r="195">
      <c r="A195" s="7" t="n"/>
      <c r="B195" s="8" t="n"/>
      <c r="C195" s="8" t="n"/>
      <c r="D195" s="9" t="n"/>
    </row>
    <row r="196">
      <c r="A196" s="7" t="n"/>
      <c r="B196" s="8" t="n"/>
      <c r="C196" s="8" t="n"/>
      <c r="D196" s="9" t="n"/>
    </row>
    <row r="197">
      <c r="A197" s="7" t="n"/>
      <c r="B197" s="8" t="n"/>
      <c r="C197" s="8" t="n"/>
      <c r="D197" s="9" t="n"/>
    </row>
    <row r="198">
      <c r="A198" s="7" t="n"/>
      <c r="B198" s="8" t="n"/>
      <c r="C198" s="8" t="n"/>
      <c r="D198" s="9" t="n"/>
    </row>
    <row r="199">
      <c r="A199" s="7" t="n"/>
      <c r="B199" s="8" t="n"/>
      <c r="C199" s="8" t="n"/>
      <c r="D199" s="9" t="n"/>
    </row>
    <row r="200">
      <c r="A200" s="7" t="n"/>
      <c r="B200" s="8" t="n"/>
      <c r="C200" s="8" t="n"/>
      <c r="D200" s="9" t="n"/>
    </row>
    <row r="201">
      <c r="A201" s="7" t="n"/>
      <c r="B201" s="8" t="n"/>
      <c r="C201" s="8" t="n"/>
      <c r="D201" s="9" t="n"/>
    </row>
  </sheetData>
  <dataValidations count="1">
    <dataValidation sqref="B2:B201" showDropDown="0" showInputMessage="0" showErrorMessage="0" allowBlank="1" type="list">
      <formula1>='Setup'!$A$2:$A$21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BUDGET</t>
        </is>
      </c>
    </row>
    <row r="3">
      <c r="A3" s="10" t="inlineStr">
        <is>
          <t>Monthly income:</t>
        </is>
      </c>
      <c r="D3" s="11" t="n">
        <v>1400</v>
      </c>
    </row>
    <row r="5">
      <c r="A5" s="5" t="inlineStr">
        <is>
          <t>Category</t>
        </is>
      </c>
      <c r="B5" s="5" t="inlineStr">
        <is>
          <t>Budget</t>
        </is>
      </c>
      <c r="C5" s="5" t="inlineStr">
        <is>
          <t>Spent</t>
        </is>
      </c>
      <c r="D5" s="5" t="inlineStr">
        <is>
          <t>Remaining</t>
        </is>
      </c>
      <c r="E5" s="12" t="inlineStr">
        <is>
          <t>key</t>
        </is>
      </c>
    </row>
    <row r="6">
      <c r="A6" s="13">
        <f>'Setup'!A2</f>
        <v/>
      </c>
      <c r="B6" s="9" t="n">
        <v>650</v>
      </c>
      <c r="C6" s="14">
        <f>IF($A6="","",SUMIF(Expenses!$B$2:$B$201,$A6,Expenses!$D$2:$D$201))</f>
        <v/>
      </c>
      <c r="D6" s="14">
        <f>IF($A6="","",N($B6)-$C6)</f>
        <v/>
      </c>
      <c r="E6" s="15">
        <f>IF($C6&gt;0,$C6+ROW()/100000,"")</f>
        <v/>
      </c>
    </row>
    <row r="7">
      <c r="A7" s="13">
        <f>'Setup'!A3</f>
        <v/>
      </c>
      <c r="B7" s="9" t="n">
        <v>100</v>
      </c>
      <c r="C7" s="14">
        <f>IF($A7="","",SUMIF(Expenses!$B$2:$B$201,$A7,Expenses!$D$2:$D$201))</f>
        <v/>
      </c>
      <c r="D7" s="14">
        <f>IF($A7="","",N($B7)-$C7)</f>
        <v/>
      </c>
      <c r="E7" s="15">
        <f>IF($C7&gt;0,$C7+ROW()/100000,"")</f>
        <v/>
      </c>
    </row>
    <row r="8">
      <c r="A8" s="13">
        <f>'Setup'!A4</f>
        <v/>
      </c>
      <c r="B8" s="9" t="n">
        <v>140</v>
      </c>
      <c r="C8" s="14">
        <f>IF($A8="","",SUMIF(Expenses!$B$2:$B$201,$A8,Expenses!$D$2:$D$201))</f>
        <v/>
      </c>
      <c r="D8" s="14">
        <f>IF($A8="","",N($B8)-$C8)</f>
        <v/>
      </c>
      <c r="E8" s="15">
        <f>IF($C8&gt;0,$C8+ROW()/100000,"")</f>
        <v/>
      </c>
    </row>
    <row r="9">
      <c r="A9" s="13">
        <f>'Setup'!A5</f>
        <v/>
      </c>
      <c r="B9" s="9" t="n">
        <v>60</v>
      </c>
      <c r="C9" s="14">
        <f>IF($A9="","",SUMIF(Expenses!$B$2:$B$201,$A9,Expenses!$D$2:$D$201))</f>
        <v/>
      </c>
      <c r="D9" s="14">
        <f>IF($A9="","",N($B9)-$C9)</f>
        <v/>
      </c>
      <c r="E9" s="15">
        <f>IF($C9&gt;0,$C9+ROW()/100000,"")</f>
        <v/>
      </c>
    </row>
    <row r="10">
      <c r="A10" s="13">
        <f>'Setup'!A6</f>
        <v/>
      </c>
      <c r="B10" s="9" t="n">
        <v>40</v>
      </c>
      <c r="C10" s="14">
        <f>IF($A10="","",SUMIF(Expenses!$B$2:$B$201,$A10,Expenses!$D$2:$D$201))</f>
        <v/>
      </c>
      <c r="D10" s="14">
        <f>IF($A10="","",N($B10)-$C10)</f>
        <v/>
      </c>
      <c r="E10" s="15">
        <f>IF($C10&gt;0,$C10+ROW()/100000,"")</f>
        <v/>
      </c>
    </row>
    <row r="11">
      <c r="A11" s="13">
        <f>'Setup'!A7</f>
        <v/>
      </c>
      <c r="B11" s="9" t="n">
        <v>80</v>
      </c>
      <c r="C11" s="14">
        <f>IF($A11="","",SUMIF(Expenses!$B$2:$B$201,$A11,Expenses!$D$2:$D$201))</f>
        <v/>
      </c>
      <c r="D11" s="14">
        <f>IF($A11="","",N($B11)-$C11)</f>
        <v/>
      </c>
      <c r="E11" s="15">
        <f>IF($C11&gt;0,$C11+ROW()/100000,"")</f>
        <v/>
      </c>
    </row>
    <row r="12">
      <c r="A12" s="13">
        <f>'Setup'!A8</f>
        <v/>
      </c>
      <c r="B12" s="9" t="n">
        <v>50</v>
      </c>
      <c r="C12" s="14">
        <f>IF($A12="","",SUMIF(Expenses!$B$2:$B$201,$A12,Expenses!$D$2:$D$201))</f>
        <v/>
      </c>
      <c r="D12" s="14">
        <f>IF($A12="","",N($B12)-$C12)</f>
        <v/>
      </c>
      <c r="E12" s="15">
        <f>IF($C12&gt;0,$C12+ROW()/100000,"")</f>
        <v/>
      </c>
    </row>
    <row r="13">
      <c r="A13" s="13">
        <f>'Setup'!A9</f>
        <v/>
      </c>
      <c r="B13" s="9" t="n">
        <v>20</v>
      </c>
      <c r="C13" s="14">
        <f>IF($A13="","",SUMIF(Expenses!$B$2:$B$201,$A13,Expenses!$D$2:$D$201))</f>
        <v/>
      </c>
      <c r="D13" s="14">
        <f>IF($A13="","",N($B13)-$C13)</f>
        <v/>
      </c>
      <c r="E13" s="15">
        <f>IF($C13&gt;0,$C13+ROW()/100000,"")</f>
        <v/>
      </c>
    </row>
    <row r="14">
      <c r="A14" s="13">
        <f>'Setup'!A10</f>
        <v/>
      </c>
      <c r="B14" s="9" t="n">
        <v>60</v>
      </c>
      <c r="C14" s="14">
        <f>IF($A14="","",SUMIF(Expenses!$B$2:$B$201,$A14,Expenses!$D$2:$D$201))</f>
        <v/>
      </c>
      <c r="D14" s="14">
        <f>IF($A14="","",N($B14)-$C14)</f>
        <v/>
      </c>
      <c r="E14" s="15">
        <f>IF($C14&gt;0,$C14+ROW()/100000,"")</f>
        <v/>
      </c>
    </row>
    <row r="15">
      <c r="A15" s="13">
        <f>'Setup'!A11</f>
        <v/>
      </c>
      <c r="B15" s="9" t="n">
        <v>40</v>
      </c>
      <c r="C15" s="14">
        <f>IF($A15="","",SUMIF(Expenses!$B$2:$B$201,$A15,Expenses!$D$2:$D$201))</f>
        <v/>
      </c>
      <c r="D15" s="14">
        <f>IF($A15="","",N($B15)-$C15)</f>
        <v/>
      </c>
      <c r="E15" s="15">
        <f>IF($C15&gt;0,$C15+ROW()/100000,"")</f>
        <v/>
      </c>
    </row>
    <row r="16">
      <c r="A16" s="13">
        <f>'Setup'!A12</f>
        <v/>
      </c>
      <c r="B16" s="9" t="n">
        <v>40</v>
      </c>
      <c r="C16" s="14">
        <f>IF($A16="","",SUMIF(Expenses!$B$2:$B$201,$A16,Expenses!$D$2:$D$201))</f>
        <v/>
      </c>
      <c r="D16" s="14">
        <f>IF($A16="","",N($B16)-$C16)</f>
        <v/>
      </c>
      <c r="E16" s="15">
        <f>IF($C16&gt;0,$C16+ROW()/100000,"")</f>
        <v/>
      </c>
    </row>
    <row r="17">
      <c r="A17" s="13">
        <f>'Setup'!A13</f>
        <v/>
      </c>
      <c r="B17" s="9" t="n">
        <v>100</v>
      </c>
      <c r="C17" s="14">
        <f>IF($A17="","",SUMIF(Expenses!$B$2:$B$201,$A17,Expenses!$D$2:$D$201))</f>
        <v/>
      </c>
      <c r="D17" s="14">
        <f>IF($A17="","",N($B17)-$C17)</f>
        <v/>
      </c>
      <c r="E17" s="15">
        <f>IF($C17&gt;0,$C17+ROW()/100000,"")</f>
        <v/>
      </c>
    </row>
    <row r="18">
      <c r="A18" s="13">
        <f>'Setup'!A14</f>
        <v/>
      </c>
      <c r="B18" s="9" t="n">
        <v>30</v>
      </c>
      <c r="C18" s="14">
        <f>IF($A18="","",SUMIF(Expenses!$B$2:$B$201,$A18,Expenses!$D$2:$D$201))</f>
        <v/>
      </c>
      <c r="D18" s="14">
        <f>IF($A18="","",N($B18)-$C18)</f>
        <v/>
      </c>
      <c r="E18" s="15">
        <f>IF($C18&gt;0,$C18+ROW()/100000,"")</f>
        <v/>
      </c>
    </row>
    <row r="19">
      <c r="A19" s="10" t="inlineStr">
        <is>
          <t>TOTAL</t>
        </is>
      </c>
      <c r="B19" s="16">
        <f>SUM(B6:B18)</f>
        <v/>
      </c>
      <c r="C19" s="16">
        <f>SUM(C6:C18)</f>
        <v/>
      </c>
      <c r="D19" s="16">
        <f>B19-C19</f>
        <v/>
      </c>
    </row>
    <row r="21">
      <c r="A21" s="4" t="inlineStr">
        <is>
          <t>SAVINGS GOALS</t>
        </is>
      </c>
    </row>
    <row r="22">
      <c r="A22" s="5" t="inlineStr">
        <is>
          <t>Goal</t>
        </is>
      </c>
      <c r="B22" s="5" t="inlineStr">
        <is>
          <t>Target</t>
        </is>
      </c>
      <c r="C22" s="5" t="inlineStr">
        <is>
          <t>Saved</t>
        </is>
      </c>
      <c r="D22" s="5" t="inlineStr">
        <is>
          <t>% Done</t>
        </is>
      </c>
    </row>
    <row r="23">
      <c r="A23" s="6" t="inlineStr">
        <is>
          <t>Emergency fund</t>
        </is>
      </c>
      <c r="B23" s="9" t="n">
        <v>3000</v>
      </c>
      <c r="C23" s="9" t="n">
        <v>1200</v>
      </c>
      <c r="D23" s="17">
        <f>IF(OR($A23="",$B23=""),"",$C23/$B23)</f>
        <v/>
      </c>
    </row>
    <row r="24">
      <c r="A24" s="6" t="inlineStr">
        <is>
          <t>New laptop</t>
        </is>
      </c>
      <c r="B24" s="9" t="n">
        <v>1500</v>
      </c>
      <c r="C24" s="9" t="n">
        <v>450</v>
      </c>
      <c r="D24" s="17">
        <f>IF(OR($A24="",$B24=""),"",$C24/$B24)</f>
        <v/>
      </c>
    </row>
    <row r="25">
      <c r="A25" s="6" t="n"/>
      <c r="B25" s="9" t="n"/>
      <c r="C25" s="9" t="n"/>
      <c r="D25" s="17">
        <f>IF(OR($A25="",$B25=""),"",$C25/$B25)</f>
        <v/>
      </c>
    </row>
    <row r="26">
      <c r="A26" s="6" t="n"/>
      <c r="B26" s="9" t="n"/>
      <c r="C26" s="9" t="n"/>
      <c r="D26" s="17">
        <f>IF(OR($A26="",$B26=""),"",$C26/$B26)</f>
        <v/>
      </c>
    </row>
    <row r="27">
      <c r="A27" s="6" t="n"/>
      <c r="B27" s="9" t="n"/>
      <c r="C27" s="9" t="n"/>
      <c r="D27" s="17">
        <f>IF(OR($A27="",$B27=""),"",$C27/$B27)</f>
        <v/>
      </c>
    </row>
    <row r="28">
      <c r="A28" s="10" t="inlineStr">
        <is>
          <t>TOTAL</t>
        </is>
      </c>
      <c r="B28" s="16">
        <f>SUM(B23:B27)</f>
        <v/>
      </c>
      <c r="C28" s="16">
        <f>SUM(C23:C27)</f>
        <v/>
      </c>
      <c r="D28" s="18">
        <f>IFERROR(C28/B28,"")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7" customWidth="1" min="33" max="33"/>
    <col width="8" customWidth="1" min="34" max="34"/>
  </cols>
  <sheetData>
    <row r="1">
      <c r="A1" s="1" t="inlineStr">
        <is>
          <t>HABITS</t>
        </is>
      </c>
    </row>
    <row r="3">
      <c r="A3" s="10" t="inlineStr">
        <is>
          <t>Month:</t>
        </is>
      </c>
      <c r="B3" s="6" t="inlineStr">
        <is>
          <t>August 2026</t>
        </is>
      </c>
    </row>
    <row r="5">
      <c r="A5" s="5" t="inlineStr">
        <is>
          <t>Habit</t>
        </is>
      </c>
      <c r="B5" s="5" t="inlineStr">
        <is>
          <t>1</t>
        </is>
      </c>
      <c r="C5" s="5" t="inlineStr">
        <is>
          <t>2</t>
        </is>
      </c>
      <c r="D5" s="5" t="inlineStr">
        <is>
          <t>3</t>
        </is>
      </c>
      <c r="E5" s="5" t="inlineStr">
        <is>
          <t>4</t>
        </is>
      </c>
      <c r="F5" s="5" t="inlineStr">
        <is>
          <t>5</t>
        </is>
      </c>
      <c r="G5" s="5" t="inlineStr">
        <is>
          <t>6</t>
        </is>
      </c>
      <c r="H5" s="5" t="inlineStr">
        <is>
          <t>7</t>
        </is>
      </c>
      <c r="I5" s="5" t="inlineStr">
        <is>
          <t>8</t>
        </is>
      </c>
      <c r="J5" s="5" t="inlineStr">
        <is>
          <t>9</t>
        </is>
      </c>
      <c r="K5" s="5" t="inlineStr">
        <is>
          <t>10</t>
        </is>
      </c>
      <c r="L5" s="5" t="inlineStr">
        <is>
          <t>11</t>
        </is>
      </c>
      <c r="M5" s="5" t="inlineStr">
        <is>
          <t>12</t>
        </is>
      </c>
      <c r="N5" s="5" t="inlineStr">
        <is>
          <t>13</t>
        </is>
      </c>
      <c r="O5" s="5" t="inlineStr">
        <is>
          <t>14</t>
        </is>
      </c>
      <c r="P5" s="5" t="inlineStr">
        <is>
          <t>15</t>
        </is>
      </c>
      <c r="Q5" s="5" t="inlineStr">
        <is>
          <t>16</t>
        </is>
      </c>
      <c r="R5" s="5" t="inlineStr">
        <is>
          <t>17</t>
        </is>
      </c>
      <c r="S5" s="5" t="inlineStr">
        <is>
          <t>18</t>
        </is>
      </c>
      <c r="T5" s="5" t="inlineStr">
        <is>
          <t>19</t>
        </is>
      </c>
      <c r="U5" s="5" t="inlineStr">
        <is>
          <t>20</t>
        </is>
      </c>
      <c r="V5" s="5" t="inlineStr">
        <is>
          <t>21</t>
        </is>
      </c>
      <c r="W5" s="5" t="inlineStr">
        <is>
          <t>22</t>
        </is>
      </c>
      <c r="X5" s="5" t="inlineStr">
        <is>
          <t>23</t>
        </is>
      </c>
      <c r="Y5" s="5" t="inlineStr">
        <is>
          <t>24</t>
        </is>
      </c>
      <c r="Z5" s="5" t="inlineStr">
        <is>
          <t>25</t>
        </is>
      </c>
      <c r="AA5" s="5" t="inlineStr">
        <is>
          <t>26</t>
        </is>
      </c>
      <c r="AB5" s="5" t="inlineStr">
        <is>
          <t>27</t>
        </is>
      </c>
      <c r="AC5" s="5" t="inlineStr">
        <is>
          <t>28</t>
        </is>
      </c>
      <c r="AD5" s="5" t="inlineStr">
        <is>
          <t>29</t>
        </is>
      </c>
      <c r="AE5" s="5" t="inlineStr">
        <is>
          <t>30</t>
        </is>
      </c>
      <c r="AF5" s="5" t="inlineStr">
        <is>
          <t>31</t>
        </is>
      </c>
      <c r="AG5" s="5" t="inlineStr">
        <is>
          <t>Done</t>
        </is>
      </c>
      <c r="AH5" s="5" t="inlineStr">
        <is>
          <t>% Month</t>
        </is>
      </c>
    </row>
    <row r="6">
      <c r="A6" s="13">
        <f>'Setup'!B2</f>
        <v/>
      </c>
      <c r="B6" s="8" t="inlineStr">
        <is>
          <t>x</t>
        </is>
      </c>
      <c r="C6" s="8" t="inlineStr">
        <is>
          <t>x</t>
        </is>
      </c>
      <c r="D6" s="8" t="n"/>
      <c r="E6" s="8" t="inlineStr">
        <is>
          <t>x</t>
        </is>
      </c>
      <c r="F6" s="8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n"/>
      <c r="P6" s="8" t="inlineStr">
        <is>
          <t>x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19">
        <f>COUNTA(B6:AF6)</f>
        <v/>
      </c>
      <c r="AH6" s="20">
        <f>IFERROR($AG6/31,0)</f>
        <v/>
      </c>
    </row>
    <row r="7">
      <c r="A7" s="13">
        <f>'Setup'!B3</f>
        <v/>
      </c>
      <c r="B7" s="8" t="inlineStr">
        <is>
          <t>x</t>
        </is>
      </c>
      <c r="C7" s="8" t="n"/>
      <c r="D7" s="8" t="n"/>
      <c r="E7" s="8" t="inlineStr">
        <is>
          <t>x</t>
        </is>
      </c>
      <c r="F7" s="8" t="inlineStr">
        <is>
          <t>x</t>
        </is>
      </c>
      <c r="G7" s="8" t="n"/>
      <c r="H7" s="8" t="inlineStr">
        <is>
          <t>x</t>
        </is>
      </c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n"/>
      <c r="O7" s="8" t="inlineStr">
        <is>
          <t>x</t>
        </is>
      </c>
      <c r="P7" s="8" t="inlineStr">
        <is>
          <t>x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19">
        <f>COUNTA(B7:AF7)</f>
        <v/>
      </c>
      <c r="AH7" s="20">
        <f>IFERROR($AG7/31,0)</f>
        <v/>
      </c>
    </row>
    <row r="8">
      <c r="A8" s="13">
        <f>'Setup'!B4</f>
        <v/>
      </c>
      <c r="B8" s="8" t="n"/>
      <c r="C8" s="8" t="inlineStr">
        <is>
          <t>x</t>
        </is>
      </c>
      <c r="D8" s="8" t="inlineStr">
        <is>
          <t>x</t>
        </is>
      </c>
      <c r="E8" s="8" t="inlineStr">
        <is>
          <t>x</t>
        </is>
      </c>
      <c r="F8" s="8" t="inlineStr">
        <is>
          <t>x</t>
        </is>
      </c>
      <c r="G8" s="8" t="inlineStr">
        <is>
          <t>x</t>
        </is>
      </c>
      <c r="H8" s="8" t="n"/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n"/>
      <c r="O8" s="8" t="n"/>
      <c r="P8" s="8" t="inlineStr">
        <is>
          <t>x</t>
        </is>
      </c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19">
        <f>COUNTA(B8:AF8)</f>
        <v/>
      </c>
      <c r="AH8" s="20">
        <f>IFERROR($AG8/31,0)</f>
        <v/>
      </c>
    </row>
    <row r="9">
      <c r="A9" s="13">
        <f>'Setup'!B5</f>
        <v/>
      </c>
      <c r="B9" s="8" t="inlineStr">
        <is>
          <t>x</t>
        </is>
      </c>
      <c r="C9" s="8" t="inlineStr">
        <is>
          <t>x</t>
        </is>
      </c>
      <c r="D9" s="8" t="n"/>
      <c r="E9" s="8" t="n"/>
      <c r="F9" s="8" t="inlineStr">
        <is>
          <t>x</t>
        </is>
      </c>
      <c r="G9" s="8" t="n"/>
      <c r="H9" s="8" t="inlineStr">
        <is>
          <t>x</t>
        </is>
      </c>
      <c r="I9" s="8" t="inlineStr">
        <is>
          <t>x</t>
        </is>
      </c>
      <c r="J9" s="8" t="n"/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n"/>
      <c r="O9" s="8" t="n"/>
      <c r="P9" s="8" t="inlineStr">
        <is>
          <t>x</t>
        </is>
      </c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19">
        <f>COUNTA(B9:AF9)</f>
        <v/>
      </c>
      <c r="AH9" s="20">
        <f>IFERROR($AG9/31,0)</f>
        <v/>
      </c>
    </row>
    <row r="10">
      <c r="A10" s="13">
        <f>'Setup'!B6</f>
        <v/>
      </c>
      <c r="B10" s="8" t="n"/>
      <c r="C10" s="8" t="inlineStr">
        <is>
          <t>x</t>
        </is>
      </c>
      <c r="D10" s="8" t="n"/>
      <c r="E10" s="8" t="inlineStr">
        <is>
          <t>x</t>
        </is>
      </c>
      <c r="F10" s="8" t="inlineStr">
        <is>
          <t>x</t>
        </is>
      </c>
      <c r="G10" s="8" t="inlineStr">
        <is>
          <t>x</t>
        </is>
      </c>
      <c r="H10" s="8" t="n"/>
      <c r="I10" s="8" t="n"/>
      <c r="J10" s="8" t="inlineStr">
        <is>
          <t>x</t>
        </is>
      </c>
      <c r="K10" s="8" t="n"/>
      <c r="L10" s="8" t="inlineStr">
        <is>
          <t>x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19">
        <f>COUNTA(B10:AF10)</f>
        <v/>
      </c>
      <c r="AH10" s="20">
        <f>IFERROR($AG10/31,0)</f>
        <v/>
      </c>
    </row>
    <row r="11">
      <c r="A11" s="13">
        <f>'Setup'!B7</f>
        <v/>
      </c>
      <c r="B11" s="8" t="inlineStr">
        <is>
          <t>x</t>
        </is>
      </c>
      <c r="C11" s="8" t="inlineStr">
        <is>
          <t>x</t>
        </is>
      </c>
      <c r="D11" s="8" t="n"/>
      <c r="E11" s="8" t="inlineStr">
        <is>
          <t>x</t>
        </is>
      </c>
      <c r="F11" s="8" t="inlineStr">
        <is>
          <t>x</t>
        </is>
      </c>
      <c r="G11" s="8" t="inlineStr">
        <is>
          <t>x</t>
        </is>
      </c>
      <c r="H11" s="8" t="inlineStr">
        <is>
          <t>x</t>
        </is>
      </c>
      <c r="I11" s="8" t="inlineStr">
        <is>
          <t>x</t>
        </is>
      </c>
      <c r="J11" s="8" t="n"/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n"/>
      <c r="O11" s="8" t="inlineStr">
        <is>
          <t>x</t>
        </is>
      </c>
      <c r="P11" s="8" t="inlineStr">
        <is>
          <t>x</t>
        </is>
      </c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19">
        <f>COUNTA(B11:AF11)</f>
        <v/>
      </c>
      <c r="AH11" s="20">
        <f>IFERROR($AG11/31,0)</f>
        <v/>
      </c>
    </row>
    <row r="12">
      <c r="A12" s="13">
        <f>'Setup'!B8</f>
        <v/>
      </c>
      <c r="B12" s="8" t="inlineStr">
        <is>
          <t>x</t>
        </is>
      </c>
      <c r="C12" s="8" t="n"/>
      <c r="D12" s="8" t="n"/>
      <c r="E12" s="8" t="n"/>
      <c r="F12" s="8" t="inlineStr">
        <is>
          <t>x</t>
        </is>
      </c>
      <c r="G12" s="8" t="inlineStr">
        <is>
          <t>x</t>
        </is>
      </c>
      <c r="H12" s="8" t="inlineStr">
        <is>
          <t>x</t>
        </is>
      </c>
      <c r="I12" s="8" t="n"/>
      <c r="J12" s="8" t="n"/>
      <c r="K12" s="8" t="inlineStr">
        <is>
          <t>x</t>
        </is>
      </c>
      <c r="L12" s="8" t="inlineStr">
        <is>
          <t>x</t>
        </is>
      </c>
      <c r="M12" s="8" t="inlineStr">
        <is>
          <t>x</t>
        </is>
      </c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19">
        <f>COUNTA(B12:AF12)</f>
        <v/>
      </c>
      <c r="AH12" s="20">
        <f>IFERROR($AG12/31,0)</f>
        <v/>
      </c>
    </row>
    <row r="13">
      <c r="A13" s="13">
        <f>'Setup'!B9</f>
        <v/>
      </c>
      <c r="B13" s="8" t="inlineStr">
        <is>
          <t>x</t>
        </is>
      </c>
      <c r="C13" s="8" t="inlineStr">
        <is>
          <t>x</t>
        </is>
      </c>
      <c r="D13" s="8" t="inlineStr">
        <is>
          <t>x</t>
        </is>
      </c>
      <c r="E13" s="8" t="inlineStr">
        <is>
          <t>x</t>
        </is>
      </c>
      <c r="F13" s="8" t="inlineStr">
        <is>
          <t>x</t>
        </is>
      </c>
      <c r="G13" s="8" t="n"/>
      <c r="H13" s="8" t="n"/>
      <c r="I13" s="8" t="inlineStr">
        <is>
          <t>x</t>
        </is>
      </c>
      <c r="J13" s="8" t="n"/>
      <c r="K13" s="8" t="n"/>
      <c r="L13" s="8" t="inlineStr">
        <is>
          <t>x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19">
        <f>COUNTA(B13:AF13)</f>
        <v/>
      </c>
      <c r="AH13" s="20">
        <f>IFERROR($AG13/31,0)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4" customWidth="1" min="4" max="4"/>
    <col width="22" customWidth="1" min="5" max="5"/>
    <col width="16" customWidth="1" min="6" max="6"/>
    <col width="12" customWidth="1" min="7" max="7"/>
  </cols>
  <sheetData>
    <row r="2">
      <c r="B2" s="1" t="inlineStr">
        <is>
          <t>LIFE HQ — DASHBOARD</t>
        </is>
      </c>
    </row>
    <row r="3">
      <c r="B3" s="2" t="inlineStr">
        <is>
          <t>Your month at a glance. Everything here fills itself.</t>
        </is>
      </c>
    </row>
    <row r="5">
      <c r="B5" s="10" t="inlineStr">
        <is>
          <t>Income</t>
        </is>
      </c>
      <c r="D5" s="10" t="inlineStr">
        <is>
          <t>Spent</t>
        </is>
      </c>
      <c r="F5" s="10" t="inlineStr">
        <is>
          <t>Left to spend</t>
        </is>
      </c>
    </row>
    <row r="6">
      <c r="B6" s="21">
        <f>Budget!$D$3</f>
        <v/>
      </c>
      <c r="D6" s="21">
        <f>Budget!$C$19</f>
        <v/>
      </c>
      <c r="F6" s="21">
        <f>IF(Budget!$D$3="","",Budget!$D$3-Budget!$C$19)</f>
        <v/>
      </c>
    </row>
    <row r="8">
      <c r="B8" s="10" t="inlineStr">
        <is>
          <t>Budget used</t>
        </is>
      </c>
      <c r="D8" s="10" t="inlineStr">
        <is>
          <t>Saved so far</t>
        </is>
      </c>
      <c r="F8" s="10" t="inlineStr">
        <is>
          <t>Savings goal %</t>
        </is>
      </c>
    </row>
    <row r="9">
      <c r="B9" s="22">
        <f>IFERROR(Budget!$C$19/Budget!$B$19,0)</f>
        <v/>
      </c>
      <c r="D9" s="21">
        <f>Budget!$C$28</f>
        <v/>
      </c>
      <c r="F9" s="22">
        <f>Budget!$D$28</f>
        <v/>
      </c>
    </row>
    <row r="11">
      <c r="B11" s="4" t="inlineStr">
        <is>
          <t>HABITS THIS MONTH</t>
        </is>
      </c>
    </row>
    <row r="12">
      <c r="B12" s="10" t="inlineStr">
        <is>
          <t>Completion %</t>
        </is>
      </c>
      <c r="D12" s="10" t="inlineStr">
        <is>
          <t>Check-ins</t>
        </is>
      </c>
      <c r="F12" s="10" t="inlineStr">
        <is>
          <t>Best habit</t>
        </is>
      </c>
    </row>
    <row r="13">
      <c r="B13" s="22">
        <f>IFERROR(SUM(Habits!$AG$6:$AG$13)/(COUNTA(Habits!$A$6:$A$13)*31),0)</f>
        <v/>
      </c>
      <c r="D13" s="23">
        <f>SUM(Habits!$AG$6:$AG$13)</f>
        <v/>
      </c>
      <c r="F13" s="24">
        <f>IFERROR(INDEX(Habits!$A$6:$A$13,MATCH(MAX(Habits!$AG$6:$AG$13),Habits!$AG$6:$AG$13,0)),"-")</f>
        <v/>
      </c>
    </row>
    <row r="16">
      <c r="B16" s="4" t="inlineStr">
        <is>
          <t>TOP SPENDING CATEGORIES</t>
        </is>
      </c>
    </row>
    <row r="17">
      <c r="B17" s="5" t="inlineStr">
        <is>
          <t>#</t>
        </is>
      </c>
      <c r="C17" s="5" t="inlineStr">
        <is>
          <t>Category</t>
        </is>
      </c>
      <c r="D17" s="5" t="inlineStr">
        <is>
          <t>Spent</t>
        </is>
      </c>
    </row>
    <row r="18">
      <c r="B18" s="25" t="n">
        <v>1</v>
      </c>
      <c r="C18" s="13">
        <f>IFERROR(INDEX(Budget!$A$6:$A$18,MATCH(LARGE(Budget!$E$6:$E$18,1),Budget!$E$6:$E$18,0)),"—")</f>
        <v/>
      </c>
      <c r="D18" s="16">
        <f>IFERROR(INDEX(Budget!$C$6:$C$18,MATCH(LARGE(Budget!$E$6:$E$18,1),Budget!$E$6:$E$18,0)),"")</f>
        <v/>
      </c>
    </row>
    <row r="19">
      <c r="B19" s="25" t="n">
        <v>2</v>
      </c>
      <c r="C19" s="13">
        <f>IFERROR(INDEX(Budget!$A$6:$A$18,MATCH(LARGE(Budget!$E$6:$E$18,2),Budget!$E$6:$E$18,0)),"—")</f>
        <v/>
      </c>
      <c r="D19" s="16">
        <f>IFERROR(INDEX(Budget!$C$6:$C$18,MATCH(LARGE(Budget!$E$6:$E$18,2),Budget!$E$6:$E$18,0)),"")</f>
        <v/>
      </c>
    </row>
    <row r="20">
      <c r="B20" s="25" t="n">
        <v>3</v>
      </c>
      <c r="C20" s="13">
        <f>IFERROR(INDEX(Budget!$A$6:$A$18,MATCH(LARGE(Budget!$E$6:$E$18,3),Budget!$E$6:$E$18,0)),"—")</f>
        <v/>
      </c>
      <c r="D20" s="16">
        <f>IFERROR(INDEX(Budget!$C$6:$C$18,MATCH(LARGE(Budget!$E$6:$E$18,3),Budget!$E$6:$E$18,0)),"")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2026-08-15T13:40:59Z</dcterms:created>
  <dcterms:modified xsi:type="dcterms:W3CDTF">2026-08-15T13:40:59Z</dcterms:modified>
</cp:coreProperties>
</file>