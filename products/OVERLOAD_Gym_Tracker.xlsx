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rcises" sheetId="2" state="visible" r:id="rId2"/>
    <sheet name="Workout Log" sheetId="3" state="visible" r:id="rId3"/>
    <sheet name="Progres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111827"/>
      <sz val="18"/>
    </font>
    <font>
      <name val="Arial"/>
      <color rgb="004B5563"/>
      <sz val="11"/>
    </font>
    <font>
      <name val="Arial"/>
      <color rgb="00111827"/>
      <sz val="11"/>
    </font>
    <font>
      <name val="Arial"/>
      <b val="1"/>
      <color rgb="002563EB"/>
      <sz val="12"/>
    </font>
    <font>
      <name val="Arial"/>
      <b val="1"/>
      <color rgb="00FFFFFF"/>
      <sz val="11"/>
    </font>
    <font>
      <name val="Arial"/>
      <b val="1"/>
      <color rgb="00B45309"/>
      <sz val="11"/>
    </font>
    <font>
      <name val="Arial"/>
      <b val="1"/>
      <color rgb="00111827"/>
      <sz val="11"/>
    </font>
    <font>
      <name val="Arial"/>
      <b val="1"/>
      <color rgb="002563EB"/>
      <sz val="11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AF2F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0" borderId="0" pivotButton="0" quotePrefix="0" xfId="0"/>
    <xf numFmtId="3" fontId="4" fillId="0" borderId="0" applyAlignment="1" pivotButton="0" quotePrefix="0" xfId="0">
      <alignment horizontal="center"/>
    </xf>
    <xf numFmtId="0" fontId="7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OVERLOAD</t>
        </is>
      </c>
    </row>
    <row r="3">
      <c r="B3" s="2" t="inlineStr">
        <is>
          <t>The gym tracker that tells you what to lift next.</t>
        </is>
      </c>
    </row>
    <row r="5">
      <c r="B5" s="3" t="inlineStr"/>
    </row>
    <row r="6">
      <c r="B6" s="4" t="inlineStr">
        <is>
          <t>HOW IT WORKS</t>
        </is>
      </c>
    </row>
    <row r="7">
      <c r="B7" s="3" t="inlineStr">
        <is>
          <t>1.  Open the 'Workout Log' tab. Every time you train, add one row per set.</t>
        </is>
      </c>
    </row>
    <row r="8">
      <c r="B8" s="3" t="inlineStr">
        <is>
          <t>2.  Fill only the BLUE cells: Date, Exercise, Weight, Reps, RPE (optional).</t>
        </is>
      </c>
    </row>
    <row r="9">
      <c r="B9" s="3" t="inlineStr">
        <is>
          <t>3.  The grey cells fill themselves — Volume, Estimated 1-Rep-Max, and a 🏆 PR flag when you beat your best.</t>
        </is>
      </c>
    </row>
    <row r="10">
      <c r="B10" s="3" t="inlineStr">
        <is>
          <t>4.  Open the 'Progress' tab to see your best lifts and your suggested next top-set weight for every exercise.</t>
        </is>
      </c>
    </row>
    <row r="11">
      <c r="B11" s="3" t="inlineStr"/>
    </row>
    <row r="12">
      <c r="B12" s="4" t="inlineStr">
        <is>
          <t>THE THREE NUMBERS IT CALCULATES FOR YOU</t>
        </is>
      </c>
    </row>
    <row r="13">
      <c r="B13" s="3" t="inlineStr">
        <is>
          <t>•  Estimated 1RM  —  your true strength on a lift, using the Epley formula: weight × (1 + reps/30).</t>
        </is>
      </c>
    </row>
    <row r="14">
      <c r="B14" s="3" t="inlineStr">
        <is>
          <t>•  New PR?  —  automatically flags the set as a personal record when its estimated 1RM beats every past set of that lift.</t>
        </is>
      </c>
    </row>
    <row r="15">
      <c r="B15" s="3" t="inlineStr">
        <is>
          <t>•  Suggested Next Weight  —  your heaviest set + 2.5 kg, so you always know the next target. That is progressive overload.</t>
        </is>
      </c>
    </row>
    <row r="16">
      <c r="B16" s="3" t="inlineStr"/>
    </row>
    <row r="17">
      <c r="B17" s="4" t="inlineStr">
        <is>
          <t>TIPS</t>
        </is>
      </c>
    </row>
    <row r="18">
      <c r="B18" s="3" t="inlineStr">
        <is>
          <t>•  Add or rename your lifts on the 'Exercises' tab — the dropdown and the Progress dashboard update automatically.</t>
        </is>
      </c>
    </row>
    <row r="19">
      <c r="B19" s="3" t="inlineStr">
        <is>
          <t>•  Using pounds? Just treat every 'kg' as 'lb' and change the +2.5 step on the Progress tab to +5.</t>
        </is>
      </c>
    </row>
    <row r="20">
      <c r="B20" s="3" t="inlineStr">
        <is>
          <t>•  Keep it in Google Sheets (File ▸ Import) or Excel — it works in both.</t>
        </is>
      </c>
    </row>
    <row r="21">
      <c r="B21" s="3" t="inlineStr"/>
    </row>
    <row r="22">
      <c r="B22" s="4" t="inlineStr">
        <is>
          <t>LEGEND</t>
        </is>
      </c>
    </row>
    <row r="23">
      <c r="B23" s="3" t="inlineStr">
        <is>
          <t>BLUE cell = you type here        GREY cell = calculated for you, don't 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5" t="inlineStr">
        <is>
          <t>Exercises (edit freely)</t>
        </is>
      </c>
    </row>
    <row r="2">
      <c r="A2" s="6" t="inlineStr">
        <is>
          <t>Bench Press</t>
        </is>
      </c>
    </row>
    <row r="3">
      <c r="A3" s="6" t="inlineStr">
        <is>
          <t>Squat</t>
        </is>
      </c>
    </row>
    <row r="4">
      <c r="A4" s="6" t="inlineStr">
        <is>
          <t>Deadlift</t>
        </is>
      </c>
    </row>
    <row r="5">
      <c r="A5" s="6" t="inlineStr">
        <is>
          <t>Overhead Press</t>
        </is>
      </c>
    </row>
    <row r="6">
      <c r="A6" s="6" t="inlineStr">
        <is>
          <t>Barbell Row</t>
        </is>
      </c>
    </row>
    <row r="7">
      <c r="A7" s="6" t="inlineStr">
        <is>
          <t>Pull Up</t>
        </is>
      </c>
    </row>
    <row r="8">
      <c r="A8" s="6" t="inlineStr">
        <is>
          <t>Incline Bench</t>
        </is>
      </c>
    </row>
    <row r="9">
      <c r="A9" s="6" t="inlineStr">
        <is>
          <t>Romanian Deadlift</t>
        </is>
      </c>
    </row>
    <row r="10">
      <c r="A10" s="6" t="inlineStr">
        <is>
          <t>Leg Press</t>
        </is>
      </c>
    </row>
    <row r="11">
      <c r="A11" s="6" t="inlineStr">
        <is>
          <t>Lat Pulldown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2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</cols>
  <sheetData>
    <row r="1">
      <c r="A1" s="5" t="inlineStr">
        <is>
          <t>Date</t>
        </is>
      </c>
      <c r="B1" s="5" t="inlineStr">
        <is>
          <t>Exercise</t>
        </is>
      </c>
      <c r="C1" s="5" t="inlineStr">
        <is>
          <t>Weight (kg)</t>
        </is>
      </c>
      <c r="D1" s="5" t="inlineStr">
        <is>
          <t>Reps</t>
        </is>
      </c>
      <c r="E1" s="5" t="inlineStr">
        <is>
          <t>RPE</t>
        </is>
      </c>
      <c r="F1" s="5" t="inlineStr">
        <is>
          <t>Volume (kg)</t>
        </is>
      </c>
      <c r="G1" s="5" t="inlineStr">
        <is>
          <t>Est. 1RM (kg)</t>
        </is>
      </c>
      <c r="H1" s="5" t="inlineStr">
        <is>
          <t>New PR?</t>
        </is>
      </c>
    </row>
    <row r="2">
      <c r="A2" s="7" t="n">
        <v>46238</v>
      </c>
      <c r="B2" s="8" t="inlineStr">
        <is>
          <t>Bench Press</t>
        </is>
      </c>
      <c r="C2" s="8" t="n">
        <v>60</v>
      </c>
      <c r="D2" s="8" t="n">
        <v>8</v>
      </c>
      <c r="E2" s="8" t="n">
        <v>7</v>
      </c>
      <c r="F2" s="9">
        <f>IF($C2="","",$C2*$D2)</f>
        <v/>
      </c>
      <c r="G2" s="9">
        <f>IF($C2="","",ROUND($C2*(1+$D2/30),1))</f>
        <v/>
      </c>
      <c r="H2" s="10">
        <f>IF($C2="","",IF($G2=_xlfn.MAXIFS($G$2:$G2,$B$2:$B2,$B2),"🏆 PR",""))</f>
        <v/>
      </c>
    </row>
    <row r="3">
      <c r="A3" s="7" t="n">
        <v>46238</v>
      </c>
      <c r="B3" s="8" t="inlineStr">
        <is>
          <t>Bench Press</t>
        </is>
      </c>
      <c r="C3" s="8" t="n">
        <v>55</v>
      </c>
      <c r="D3" s="8" t="n">
        <v>10</v>
      </c>
      <c r="E3" s="8" t="n">
        <v>8</v>
      </c>
      <c r="F3" s="9">
        <f>IF($C3="","",$C3*$D3)</f>
        <v/>
      </c>
      <c r="G3" s="9">
        <f>IF($C3="","",ROUND($C3*(1+$D3/30),1))</f>
        <v/>
      </c>
      <c r="H3" s="10">
        <f>IF($C3="","",IF($G3=_xlfn.MAXIFS($G$2:$G3,$B$2:$B3,$B3),"🏆 PR",""))</f>
        <v/>
      </c>
    </row>
    <row r="4">
      <c r="A4" s="7" t="n">
        <v>46238</v>
      </c>
      <c r="B4" s="8" t="inlineStr">
        <is>
          <t>Overhead Press</t>
        </is>
      </c>
      <c r="C4" s="8" t="n">
        <v>40</v>
      </c>
      <c r="D4" s="8" t="n">
        <v>8</v>
      </c>
      <c r="E4" s="8" t="n">
        <v>8</v>
      </c>
      <c r="F4" s="9">
        <f>IF($C4="","",$C4*$D4)</f>
        <v/>
      </c>
      <c r="G4" s="9">
        <f>IF($C4="","",ROUND($C4*(1+$D4/30),1))</f>
        <v/>
      </c>
      <c r="H4" s="10">
        <f>IF($C4="","",IF($G4=_xlfn.MAXIFS($G$2:$G4,$B$2:$B4,$B4),"🏆 PR",""))</f>
        <v/>
      </c>
    </row>
    <row r="5">
      <c r="A5" s="7" t="n">
        <v>46239</v>
      </c>
      <c r="B5" s="8" t="inlineStr">
        <is>
          <t>Squat</t>
        </is>
      </c>
      <c r="C5" s="8" t="n">
        <v>100</v>
      </c>
      <c r="D5" s="8" t="n">
        <v>5</v>
      </c>
      <c r="E5" s="8" t="n">
        <v>7</v>
      </c>
      <c r="F5" s="9">
        <f>IF($C5="","",$C5*$D5)</f>
        <v/>
      </c>
      <c r="G5" s="9">
        <f>IF($C5="","",ROUND($C5*(1+$D5/30),1))</f>
        <v/>
      </c>
      <c r="H5" s="10">
        <f>IF($C5="","",IF($G5=_xlfn.MAXIFS($G$2:$G5,$B$2:$B5,$B5),"🏆 PR",""))</f>
        <v/>
      </c>
    </row>
    <row r="6">
      <c r="A6" s="7" t="n">
        <v>46239</v>
      </c>
      <c r="B6" s="8" t="inlineStr">
        <is>
          <t>Barbell Row</t>
        </is>
      </c>
      <c r="C6" s="8" t="n">
        <v>70</v>
      </c>
      <c r="D6" s="8" t="n">
        <v>8</v>
      </c>
      <c r="E6" s="8" t="n">
        <v>7</v>
      </c>
      <c r="F6" s="9">
        <f>IF($C6="","",$C6*$D6)</f>
        <v/>
      </c>
      <c r="G6" s="9">
        <f>IF($C6="","",ROUND($C6*(1+$D6/30),1))</f>
        <v/>
      </c>
      <c r="H6" s="10">
        <f>IF($C6="","",IF($G6=_xlfn.MAXIFS($G$2:$G6,$B$2:$B6,$B6),"🏆 PR",""))</f>
        <v/>
      </c>
    </row>
    <row r="7">
      <c r="A7" s="7" t="n">
        <v>46240</v>
      </c>
      <c r="B7" s="8" t="inlineStr">
        <is>
          <t>Deadlift</t>
        </is>
      </c>
      <c r="C7" s="8" t="n">
        <v>120</v>
      </c>
      <c r="D7" s="8" t="n">
        <v>5</v>
      </c>
      <c r="E7" s="8" t="n">
        <v>8</v>
      </c>
      <c r="F7" s="9">
        <f>IF($C7="","",$C7*$D7)</f>
        <v/>
      </c>
      <c r="G7" s="9">
        <f>IF($C7="","",ROUND($C7*(1+$D7/30),1))</f>
        <v/>
      </c>
      <c r="H7" s="10">
        <f>IF($C7="","",IF($G7=_xlfn.MAXIFS($G$2:$G7,$B$2:$B7,$B7),"🏆 PR",""))</f>
        <v/>
      </c>
    </row>
    <row r="8">
      <c r="A8" s="7" t="n">
        <v>46245</v>
      </c>
      <c r="B8" s="8" t="inlineStr">
        <is>
          <t>Bench Press</t>
        </is>
      </c>
      <c r="C8" s="8" t="n">
        <v>62.5</v>
      </c>
      <c r="D8" s="8" t="n">
        <v>8</v>
      </c>
      <c r="E8" s="8" t="n">
        <v>8</v>
      </c>
      <c r="F8" s="9">
        <f>IF($C8="","",$C8*$D8)</f>
        <v/>
      </c>
      <c r="G8" s="9">
        <f>IF($C8="","",ROUND($C8*(1+$D8/30),1))</f>
        <v/>
      </c>
      <c r="H8" s="10">
        <f>IF($C8="","",IF($G8=_xlfn.MAXIFS($G$2:$G8,$B$2:$B8,$B8),"🏆 PR",""))</f>
        <v/>
      </c>
    </row>
    <row r="9">
      <c r="A9" s="7" t="n">
        <v>46245</v>
      </c>
      <c r="B9" s="8" t="inlineStr">
        <is>
          <t>Overhead Press</t>
        </is>
      </c>
      <c r="C9" s="8" t="n">
        <v>40</v>
      </c>
      <c r="D9" s="8" t="n">
        <v>7</v>
      </c>
      <c r="E9" s="8" t="n">
        <v>7</v>
      </c>
      <c r="F9" s="9">
        <f>IF($C9="","",$C9*$D9)</f>
        <v/>
      </c>
      <c r="G9" s="9">
        <f>IF($C9="","",ROUND($C9*(1+$D9/30),1))</f>
        <v/>
      </c>
      <c r="H9" s="10">
        <f>IF($C9="","",IF($G9=_xlfn.MAXIFS($G$2:$G9,$B$2:$B9,$B9),"🏆 PR",""))</f>
        <v/>
      </c>
    </row>
    <row r="10">
      <c r="A10" s="7" t="n">
        <v>46246</v>
      </c>
      <c r="B10" s="8" t="inlineStr">
        <is>
          <t>Squat</t>
        </is>
      </c>
      <c r="C10" s="8" t="n">
        <v>90</v>
      </c>
      <c r="D10" s="8" t="n">
        <v>8</v>
      </c>
      <c r="E10" s="8" t="n">
        <v>7</v>
      </c>
      <c r="F10" s="9">
        <f>IF($C10="","",$C10*$D10)</f>
        <v/>
      </c>
      <c r="G10" s="9">
        <f>IF($C10="","",ROUND($C10*(1+$D10/30),1))</f>
        <v/>
      </c>
      <c r="H10" s="10">
        <f>IF($C10="","",IF($G10=_xlfn.MAXIFS($G$2:$G10,$B$2:$B10,$B10),"🏆 PR",""))</f>
        <v/>
      </c>
    </row>
    <row r="11">
      <c r="A11" s="7" t="n">
        <v>46246</v>
      </c>
      <c r="B11" s="8" t="inlineStr">
        <is>
          <t>Squat</t>
        </is>
      </c>
      <c r="C11" s="8" t="n">
        <v>100</v>
      </c>
      <c r="D11" s="8" t="n">
        <v>6</v>
      </c>
      <c r="E11" s="8" t="n">
        <v>8</v>
      </c>
      <c r="F11" s="9">
        <f>IF($C11="","",$C11*$D11)</f>
        <v/>
      </c>
      <c r="G11" s="9">
        <f>IF($C11="","",ROUND($C11*(1+$D11/30),1))</f>
        <v/>
      </c>
      <c r="H11" s="10">
        <f>IF($C11="","",IF($G11=_xlfn.MAXIFS($G$2:$G11,$B$2:$B11,$B11),"🏆 PR",""))</f>
        <v/>
      </c>
    </row>
    <row r="12">
      <c r="A12" s="7" t="n">
        <v>46246</v>
      </c>
      <c r="B12" s="8" t="inlineStr">
        <is>
          <t>Barbell Row</t>
        </is>
      </c>
      <c r="C12" s="8" t="n">
        <v>72.5</v>
      </c>
      <c r="D12" s="8" t="n">
        <v>8</v>
      </c>
      <c r="E12" s="8" t="n">
        <v>8</v>
      </c>
      <c r="F12" s="9">
        <f>IF($C12="","",$C12*$D12)</f>
        <v/>
      </c>
      <c r="G12" s="9">
        <f>IF($C12="","",ROUND($C12*(1+$D12/30),1))</f>
        <v/>
      </c>
      <c r="H12" s="10">
        <f>IF($C12="","",IF($G12=_xlfn.MAXIFS($G$2:$G12,$B$2:$B12,$B12),"🏆 PR",""))</f>
        <v/>
      </c>
    </row>
    <row r="13">
      <c r="A13" s="7" t="n">
        <v>46247</v>
      </c>
      <c r="B13" s="8" t="inlineStr">
        <is>
          <t>Deadlift</t>
        </is>
      </c>
      <c r="C13" s="8" t="n">
        <v>125</v>
      </c>
      <c r="D13" s="8" t="n">
        <v>5</v>
      </c>
      <c r="E13" s="8" t="n">
        <v>8</v>
      </c>
      <c r="F13" s="9">
        <f>IF($C13="","",$C13*$D13)</f>
        <v/>
      </c>
      <c r="G13" s="9">
        <f>IF($C13="","",ROUND($C13*(1+$D13/30),1))</f>
        <v/>
      </c>
      <c r="H13" s="10">
        <f>IF($C13="","",IF($G13=_xlfn.MAXIFS($G$2:$G13,$B$2:$B13,$B13),"🏆 PR",""))</f>
        <v/>
      </c>
    </row>
    <row r="14">
      <c r="A14" s="7" t="n">
        <v>46248</v>
      </c>
      <c r="B14" s="8" t="inlineStr">
        <is>
          <t>Bench Press</t>
        </is>
      </c>
      <c r="C14" s="8" t="n">
        <v>62.5</v>
      </c>
      <c r="D14" s="8" t="n">
        <v>9</v>
      </c>
      <c r="E14" s="8" t="n">
        <v>9</v>
      </c>
      <c r="F14" s="9">
        <f>IF($C14="","",$C14*$D14)</f>
        <v/>
      </c>
      <c r="G14" s="9">
        <f>IF($C14="","",ROUND($C14*(1+$D14/30),1))</f>
        <v/>
      </c>
      <c r="H14" s="10">
        <f>IF($C14="","",IF($G14=_xlfn.MAXIFS($G$2:$G14,$B$2:$B14,$B14),"🏆 PR",""))</f>
        <v/>
      </c>
    </row>
    <row r="15">
      <c r="A15" s="7" t="n"/>
      <c r="B15" s="8" t="n"/>
      <c r="C15" s="8" t="n"/>
      <c r="D15" s="8" t="n"/>
      <c r="E15" s="8" t="n"/>
      <c r="F15" s="9">
        <f>IF($C15="","",$C15*$D15)</f>
        <v/>
      </c>
      <c r="G15" s="9">
        <f>IF($C15="","",ROUND($C15*(1+$D15/30),1))</f>
        <v/>
      </c>
      <c r="H15" s="10">
        <f>IF($C15="","",IF($G15=_xlfn.MAXIFS($G$2:$G15,$B$2:$B15,$B15),"🏆 PR",""))</f>
        <v/>
      </c>
    </row>
    <row r="16">
      <c r="A16" s="7" t="n"/>
      <c r="B16" s="8" t="n"/>
      <c r="C16" s="8" t="n"/>
      <c r="D16" s="8" t="n"/>
      <c r="E16" s="8" t="n"/>
      <c r="F16" s="9">
        <f>IF($C16="","",$C16*$D16)</f>
        <v/>
      </c>
      <c r="G16" s="9">
        <f>IF($C16="","",ROUND($C16*(1+$D16/30),1))</f>
        <v/>
      </c>
      <c r="H16" s="10">
        <f>IF($C16="","",IF($G16=_xlfn.MAXIFS($G$2:$G16,$B$2:$B16,$B16),"🏆 PR",""))</f>
        <v/>
      </c>
    </row>
    <row r="17">
      <c r="A17" s="7" t="n"/>
      <c r="B17" s="8" t="n"/>
      <c r="C17" s="8" t="n"/>
      <c r="D17" s="8" t="n"/>
      <c r="E17" s="8" t="n"/>
      <c r="F17" s="9">
        <f>IF($C17="","",$C17*$D17)</f>
        <v/>
      </c>
      <c r="G17" s="9">
        <f>IF($C17="","",ROUND($C17*(1+$D17/30),1))</f>
        <v/>
      </c>
      <c r="H17" s="10">
        <f>IF($C17="","",IF($G17=_xlfn.MAXIFS($G$2:$G17,$B$2:$B17,$B17),"🏆 PR",""))</f>
        <v/>
      </c>
    </row>
    <row r="18">
      <c r="A18" s="7" t="n"/>
      <c r="B18" s="8" t="n"/>
      <c r="C18" s="8" t="n"/>
      <c r="D18" s="8" t="n"/>
      <c r="E18" s="8" t="n"/>
      <c r="F18" s="9">
        <f>IF($C18="","",$C18*$D18)</f>
        <v/>
      </c>
      <c r="G18" s="9">
        <f>IF($C18="","",ROUND($C18*(1+$D18/30),1))</f>
        <v/>
      </c>
      <c r="H18" s="10">
        <f>IF($C18="","",IF($G18=_xlfn.MAXIFS($G$2:$G18,$B$2:$B18,$B18),"🏆 PR",""))</f>
        <v/>
      </c>
    </row>
    <row r="19">
      <c r="A19" s="7" t="n"/>
      <c r="B19" s="8" t="n"/>
      <c r="C19" s="8" t="n"/>
      <c r="D19" s="8" t="n"/>
      <c r="E19" s="8" t="n"/>
      <c r="F19" s="9">
        <f>IF($C19="","",$C19*$D19)</f>
        <v/>
      </c>
      <c r="G19" s="9">
        <f>IF($C19="","",ROUND($C19*(1+$D19/30),1))</f>
        <v/>
      </c>
      <c r="H19" s="10">
        <f>IF($C19="","",IF($G19=_xlfn.MAXIFS($G$2:$G19,$B$2:$B19,$B19),"🏆 PR",""))</f>
        <v/>
      </c>
    </row>
    <row r="20">
      <c r="A20" s="7" t="n"/>
      <c r="B20" s="8" t="n"/>
      <c r="C20" s="8" t="n"/>
      <c r="D20" s="8" t="n"/>
      <c r="E20" s="8" t="n"/>
      <c r="F20" s="9">
        <f>IF($C20="","",$C20*$D20)</f>
        <v/>
      </c>
      <c r="G20" s="9">
        <f>IF($C20="","",ROUND($C20*(1+$D20/30),1))</f>
        <v/>
      </c>
      <c r="H20" s="10">
        <f>IF($C20="","",IF($G20=_xlfn.MAXIFS($G$2:$G20,$B$2:$B20,$B20),"🏆 PR",""))</f>
        <v/>
      </c>
    </row>
    <row r="21">
      <c r="A21" s="7" t="n"/>
      <c r="B21" s="8" t="n"/>
      <c r="C21" s="8" t="n"/>
      <c r="D21" s="8" t="n"/>
      <c r="E21" s="8" t="n"/>
      <c r="F21" s="9">
        <f>IF($C21="","",$C21*$D21)</f>
        <v/>
      </c>
      <c r="G21" s="9">
        <f>IF($C21="","",ROUND($C21*(1+$D21/30),1))</f>
        <v/>
      </c>
      <c r="H21" s="10">
        <f>IF($C21="","",IF($G21=_xlfn.MAXIFS($G$2:$G21,$B$2:$B21,$B21),"🏆 PR",""))</f>
        <v/>
      </c>
    </row>
    <row r="22">
      <c r="A22" s="7" t="n"/>
      <c r="B22" s="8" t="n"/>
      <c r="C22" s="8" t="n"/>
      <c r="D22" s="8" t="n"/>
      <c r="E22" s="8" t="n"/>
      <c r="F22" s="9">
        <f>IF($C22="","",$C22*$D22)</f>
        <v/>
      </c>
      <c r="G22" s="9">
        <f>IF($C22="","",ROUND($C22*(1+$D22/30),1))</f>
        <v/>
      </c>
      <c r="H22" s="10">
        <f>IF($C22="","",IF($G22=_xlfn.MAXIFS($G$2:$G22,$B$2:$B22,$B22),"🏆 PR",""))</f>
        <v/>
      </c>
    </row>
    <row r="23">
      <c r="A23" s="7" t="n"/>
      <c r="B23" s="8" t="n"/>
      <c r="C23" s="8" t="n"/>
      <c r="D23" s="8" t="n"/>
      <c r="E23" s="8" t="n"/>
      <c r="F23" s="9">
        <f>IF($C23="","",$C23*$D23)</f>
        <v/>
      </c>
      <c r="G23" s="9">
        <f>IF($C23="","",ROUND($C23*(1+$D23/30),1))</f>
        <v/>
      </c>
      <c r="H23" s="10">
        <f>IF($C23="","",IF($G23=_xlfn.MAXIFS($G$2:$G23,$B$2:$B23,$B23),"🏆 PR",""))</f>
        <v/>
      </c>
    </row>
    <row r="24">
      <c r="A24" s="7" t="n"/>
      <c r="B24" s="8" t="n"/>
      <c r="C24" s="8" t="n"/>
      <c r="D24" s="8" t="n"/>
      <c r="E24" s="8" t="n"/>
      <c r="F24" s="9">
        <f>IF($C24="","",$C24*$D24)</f>
        <v/>
      </c>
      <c r="G24" s="9">
        <f>IF($C24="","",ROUND($C24*(1+$D24/30),1))</f>
        <v/>
      </c>
      <c r="H24" s="10">
        <f>IF($C24="","",IF($G24=_xlfn.MAXIFS($G$2:$G24,$B$2:$B24,$B24),"🏆 PR",""))</f>
        <v/>
      </c>
    </row>
    <row r="25">
      <c r="A25" s="7" t="n"/>
      <c r="B25" s="8" t="n"/>
      <c r="C25" s="8" t="n"/>
      <c r="D25" s="8" t="n"/>
      <c r="E25" s="8" t="n"/>
      <c r="F25" s="9">
        <f>IF($C25="","",$C25*$D25)</f>
        <v/>
      </c>
      <c r="G25" s="9">
        <f>IF($C25="","",ROUND($C25*(1+$D25/30),1))</f>
        <v/>
      </c>
      <c r="H25" s="10">
        <f>IF($C25="","",IF($G25=_xlfn.MAXIFS($G$2:$G25,$B$2:$B25,$B25),"🏆 PR",""))</f>
        <v/>
      </c>
    </row>
    <row r="26">
      <c r="A26" s="7" t="n"/>
      <c r="B26" s="8" t="n"/>
      <c r="C26" s="8" t="n"/>
      <c r="D26" s="8" t="n"/>
      <c r="E26" s="8" t="n"/>
      <c r="F26" s="9">
        <f>IF($C26="","",$C26*$D26)</f>
        <v/>
      </c>
      <c r="G26" s="9">
        <f>IF($C26="","",ROUND($C26*(1+$D26/30),1))</f>
        <v/>
      </c>
      <c r="H26" s="10">
        <f>IF($C26="","",IF($G26=_xlfn.MAXIFS($G$2:$G26,$B$2:$B26,$B26),"🏆 PR",""))</f>
        <v/>
      </c>
    </row>
    <row r="27">
      <c r="A27" s="7" t="n"/>
      <c r="B27" s="8" t="n"/>
      <c r="C27" s="8" t="n"/>
      <c r="D27" s="8" t="n"/>
      <c r="E27" s="8" t="n"/>
      <c r="F27" s="9">
        <f>IF($C27="","",$C27*$D27)</f>
        <v/>
      </c>
      <c r="G27" s="9">
        <f>IF($C27="","",ROUND($C27*(1+$D27/30),1))</f>
        <v/>
      </c>
      <c r="H27" s="10">
        <f>IF($C27="","",IF($G27=_xlfn.MAXIFS($G$2:$G27,$B$2:$B27,$B27),"🏆 PR",""))</f>
        <v/>
      </c>
    </row>
    <row r="28">
      <c r="A28" s="7" t="n"/>
      <c r="B28" s="8" t="n"/>
      <c r="C28" s="8" t="n"/>
      <c r="D28" s="8" t="n"/>
      <c r="E28" s="8" t="n"/>
      <c r="F28" s="9">
        <f>IF($C28="","",$C28*$D28)</f>
        <v/>
      </c>
      <c r="G28" s="9">
        <f>IF($C28="","",ROUND($C28*(1+$D28/30),1))</f>
        <v/>
      </c>
      <c r="H28" s="10">
        <f>IF($C28="","",IF($G28=_xlfn.MAXIFS($G$2:$G28,$B$2:$B28,$B28),"🏆 PR",""))</f>
        <v/>
      </c>
    </row>
    <row r="29">
      <c r="A29" s="7" t="n"/>
      <c r="B29" s="8" t="n"/>
      <c r="C29" s="8" t="n"/>
      <c r="D29" s="8" t="n"/>
      <c r="E29" s="8" t="n"/>
      <c r="F29" s="9">
        <f>IF($C29="","",$C29*$D29)</f>
        <v/>
      </c>
      <c r="G29" s="9">
        <f>IF($C29="","",ROUND($C29*(1+$D29/30),1))</f>
        <v/>
      </c>
      <c r="H29" s="10">
        <f>IF($C29="","",IF($G29=_xlfn.MAXIFS($G$2:$G29,$B$2:$B29,$B29),"🏆 PR",""))</f>
        <v/>
      </c>
    </row>
    <row r="30">
      <c r="A30" s="7" t="n"/>
      <c r="B30" s="8" t="n"/>
      <c r="C30" s="8" t="n"/>
      <c r="D30" s="8" t="n"/>
      <c r="E30" s="8" t="n"/>
      <c r="F30" s="9">
        <f>IF($C30="","",$C30*$D30)</f>
        <v/>
      </c>
      <c r="G30" s="9">
        <f>IF($C30="","",ROUND($C30*(1+$D30/30),1))</f>
        <v/>
      </c>
      <c r="H30" s="10">
        <f>IF($C30="","",IF($G30=_xlfn.MAXIFS($G$2:$G30,$B$2:$B30,$B30),"🏆 PR",""))</f>
        <v/>
      </c>
    </row>
    <row r="31">
      <c r="A31" s="7" t="n"/>
      <c r="B31" s="8" t="n"/>
      <c r="C31" s="8" t="n"/>
      <c r="D31" s="8" t="n"/>
      <c r="E31" s="8" t="n"/>
      <c r="F31" s="9">
        <f>IF($C31="","",$C31*$D31)</f>
        <v/>
      </c>
      <c r="G31" s="9">
        <f>IF($C31="","",ROUND($C31*(1+$D31/30),1))</f>
        <v/>
      </c>
      <c r="H31" s="10">
        <f>IF($C31="","",IF($G31=_xlfn.MAXIFS($G$2:$G31,$B$2:$B31,$B31),"🏆 PR",""))</f>
        <v/>
      </c>
    </row>
    <row r="32">
      <c r="A32" s="7" t="n"/>
      <c r="B32" s="8" t="n"/>
      <c r="C32" s="8" t="n"/>
      <c r="D32" s="8" t="n"/>
      <c r="E32" s="8" t="n"/>
      <c r="F32" s="9">
        <f>IF($C32="","",$C32*$D32)</f>
        <v/>
      </c>
      <c r="G32" s="9">
        <f>IF($C32="","",ROUND($C32*(1+$D32/30),1))</f>
        <v/>
      </c>
      <c r="H32" s="10">
        <f>IF($C32="","",IF($G32=_xlfn.MAXIFS($G$2:$G32,$B$2:$B32,$B32),"🏆 PR",""))</f>
        <v/>
      </c>
    </row>
    <row r="33">
      <c r="A33" s="7" t="n"/>
      <c r="B33" s="8" t="n"/>
      <c r="C33" s="8" t="n"/>
      <c r="D33" s="8" t="n"/>
      <c r="E33" s="8" t="n"/>
      <c r="F33" s="9">
        <f>IF($C33="","",$C33*$D33)</f>
        <v/>
      </c>
      <c r="G33" s="9">
        <f>IF($C33="","",ROUND($C33*(1+$D33/30),1))</f>
        <v/>
      </c>
      <c r="H33" s="10">
        <f>IF($C33="","",IF($G33=_xlfn.MAXIFS($G$2:$G33,$B$2:$B33,$B33),"🏆 PR",""))</f>
        <v/>
      </c>
    </row>
    <row r="34">
      <c r="A34" s="7" t="n"/>
      <c r="B34" s="8" t="n"/>
      <c r="C34" s="8" t="n"/>
      <c r="D34" s="8" t="n"/>
      <c r="E34" s="8" t="n"/>
      <c r="F34" s="9">
        <f>IF($C34="","",$C34*$D34)</f>
        <v/>
      </c>
      <c r="G34" s="9">
        <f>IF($C34="","",ROUND($C34*(1+$D34/30),1))</f>
        <v/>
      </c>
      <c r="H34" s="10">
        <f>IF($C34="","",IF($G34=_xlfn.MAXIFS($G$2:$G34,$B$2:$B34,$B34),"🏆 PR",""))</f>
        <v/>
      </c>
    </row>
    <row r="35">
      <c r="A35" s="7" t="n"/>
      <c r="B35" s="8" t="n"/>
      <c r="C35" s="8" t="n"/>
      <c r="D35" s="8" t="n"/>
      <c r="E35" s="8" t="n"/>
      <c r="F35" s="9">
        <f>IF($C35="","",$C35*$D35)</f>
        <v/>
      </c>
      <c r="G35" s="9">
        <f>IF($C35="","",ROUND($C35*(1+$D35/30),1))</f>
        <v/>
      </c>
      <c r="H35" s="10">
        <f>IF($C35="","",IF($G35=_xlfn.MAXIFS($G$2:$G35,$B$2:$B35,$B35),"🏆 PR",""))</f>
        <v/>
      </c>
    </row>
    <row r="36">
      <c r="A36" s="7" t="n"/>
      <c r="B36" s="8" t="n"/>
      <c r="C36" s="8" t="n"/>
      <c r="D36" s="8" t="n"/>
      <c r="E36" s="8" t="n"/>
      <c r="F36" s="9">
        <f>IF($C36="","",$C36*$D36)</f>
        <v/>
      </c>
      <c r="G36" s="9">
        <f>IF($C36="","",ROUND($C36*(1+$D36/30),1))</f>
        <v/>
      </c>
      <c r="H36" s="10">
        <f>IF($C36="","",IF($G36=_xlfn.MAXIFS($G$2:$G36,$B$2:$B36,$B36),"🏆 PR",""))</f>
        <v/>
      </c>
    </row>
    <row r="37">
      <c r="A37" s="7" t="n"/>
      <c r="B37" s="8" t="n"/>
      <c r="C37" s="8" t="n"/>
      <c r="D37" s="8" t="n"/>
      <c r="E37" s="8" t="n"/>
      <c r="F37" s="9">
        <f>IF($C37="","",$C37*$D37)</f>
        <v/>
      </c>
      <c r="G37" s="9">
        <f>IF($C37="","",ROUND($C37*(1+$D37/30),1))</f>
        <v/>
      </c>
      <c r="H37" s="10">
        <f>IF($C37="","",IF($G37=_xlfn.MAXIFS($G$2:$G37,$B$2:$B37,$B37),"🏆 PR",""))</f>
        <v/>
      </c>
    </row>
    <row r="38">
      <c r="A38" s="7" t="n"/>
      <c r="B38" s="8" t="n"/>
      <c r="C38" s="8" t="n"/>
      <c r="D38" s="8" t="n"/>
      <c r="E38" s="8" t="n"/>
      <c r="F38" s="9">
        <f>IF($C38="","",$C38*$D38)</f>
        <v/>
      </c>
      <c r="G38" s="9">
        <f>IF($C38="","",ROUND($C38*(1+$D38/30),1))</f>
        <v/>
      </c>
      <c r="H38" s="10">
        <f>IF($C38="","",IF($G38=_xlfn.MAXIFS($G$2:$G38,$B$2:$B38,$B38),"🏆 PR",""))</f>
        <v/>
      </c>
    </row>
    <row r="39">
      <c r="A39" s="7" t="n"/>
      <c r="B39" s="8" t="n"/>
      <c r="C39" s="8" t="n"/>
      <c r="D39" s="8" t="n"/>
      <c r="E39" s="8" t="n"/>
      <c r="F39" s="9">
        <f>IF($C39="","",$C39*$D39)</f>
        <v/>
      </c>
      <c r="G39" s="9">
        <f>IF($C39="","",ROUND($C39*(1+$D39/30),1))</f>
        <v/>
      </c>
      <c r="H39" s="10">
        <f>IF($C39="","",IF($G39=_xlfn.MAXIFS($G$2:$G39,$B$2:$B39,$B39),"🏆 PR",""))</f>
        <v/>
      </c>
    </row>
    <row r="40">
      <c r="A40" s="7" t="n"/>
      <c r="B40" s="8" t="n"/>
      <c r="C40" s="8" t="n"/>
      <c r="D40" s="8" t="n"/>
      <c r="E40" s="8" t="n"/>
      <c r="F40" s="9">
        <f>IF($C40="","",$C40*$D40)</f>
        <v/>
      </c>
      <c r="G40" s="9">
        <f>IF($C40="","",ROUND($C40*(1+$D40/30),1))</f>
        <v/>
      </c>
      <c r="H40" s="10">
        <f>IF($C40="","",IF($G40=_xlfn.MAXIFS($G$2:$G40,$B$2:$B40,$B40),"🏆 PR",""))</f>
        <v/>
      </c>
    </row>
    <row r="41">
      <c r="A41" s="7" t="n"/>
      <c r="B41" s="8" t="n"/>
      <c r="C41" s="8" t="n"/>
      <c r="D41" s="8" t="n"/>
      <c r="E41" s="8" t="n"/>
      <c r="F41" s="9">
        <f>IF($C41="","",$C41*$D41)</f>
        <v/>
      </c>
      <c r="G41" s="9">
        <f>IF($C41="","",ROUND($C41*(1+$D41/30),1))</f>
        <v/>
      </c>
      <c r="H41" s="10">
        <f>IF($C41="","",IF($G41=_xlfn.MAXIFS($G$2:$G41,$B$2:$B41,$B41),"🏆 PR",""))</f>
        <v/>
      </c>
    </row>
    <row r="42">
      <c r="A42" s="7" t="n"/>
      <c r="B42" s="8" t="n"/>
      <c r="C42" s="8" t="n"/>
      <c r="D42" s="8" t="n"/>
      <c r="E42" s="8" t="n"/>
      <c r="F42" s="9">
        <f>IF($C42="","",$C42*$D42)</f>
        <v/>
      </c>
      <c r="G42" s="9">
        <f>IF($C42="","",ROUND($C42*(1+$D42/30),1))</f>
        <v/>
      </c>
      <c r="H42" s="10">
        <f>IF($C42="","",IF($G42=_xlfn.MAXIFS($G$2:$G42,$B$2:$B42,$B42),"🏆 PR",""))</f>
        <v/>
      </c>
    </row>
    <row r="43">
      <c r="A43" s="7" t="n"/>
      <c r="B43" s="8" t="n"/>
      <c r="C43" s="8" t="n"/>
      <c r="D43" s="8" t="n"/>
      <c r="E43" s="8" t="n"/>
      <c r="F43" s="9">
        <f>IF($C43="","",$C43*$D43)</f>
        <v/>
      </c>
      <c r="G43" s="9">
        <f>IF($C43="","",ROUND($C43*(1+$D43/30),1))</f>
        <v/>
      </c>
      <c r="H43" s="10">
        <f>IF($C43="","",IF($G43=_xlfn.MAXIFS($G$2:$G43,$B$2:$B43,$B43),"🏆 PR",""))</f>
        <v/>
      </c>
    </row>
    <row r="44">
      <c r="A44" s="7" t="n"/>
      <c r="B44" s="8" t="n"/>
      <c r="C44" s="8" t="n"/>
      <c r="D44" s="8" t="n"/>
      <c r="E44" s="8" t="n"/>
      <c r="F44" s="9">
        <f>IF($C44="","",$C44*$D44)</f>
        <v/>
      </c>
      <c r="G44" s="9">
        <f>IF($C44="","",ROUND($C44*(1+$D44/30),1))</f>
        <v/>
      </c>
      <c r="H44" s="10">
        <f>IF($C44="","",IF($G44=_xlfn.MAXIFS($G$2:$G44,$B$2:$B44,$B44),"🏆 PR",""))</f>
        <v/>
      </c>
    </row>
    <row r="45">
      <c r="A45" s="7" t="n"/>
      <c r="B45" s="8" t="n"/>
      <c r="C45" s="8" t="n"/>
      <c r="D45" s="8" t="n"/>
      <c r="E45" s="8" t="n"/>
      <c r="F45" s="9">
        <f>IF($C45="","",$C45*$D45)</f>
        <v/>
      </c>
      <c r="G45" s="9">
        <f>IF($C45="","",ROUND($C45*(1+$D45/30),1))</f>
        <v/>
      </c>
      <c r="H45" s="10">
        <f>IF($C45="","",IF($G45=_xlfn.MAXIFS($G$2:$G45,$B$2:$B45,$B45),"🏆 PR",""))</f>
        <v/>
      </c>
    </row>
    <row r="46">
      <c r="A46" s="7" t="n"/>
      <c r="B46" s="8" t="n"/>
      <c r="C46" s="8" t="n"/>
      <c r="D46" s="8" t="n"/>
      <c r="E46" s="8" t="n"/>
      <c r="F46" s="9">
        <f>IF($C46="","",$C46*$D46)</f>
        <v/>
      </c>
      <c r="G46" s="9">
        <f>IF($C46="","",ROUND($C46*(1+$D46/30),1))</f>
        <v/>
      </c>
      <c r="H46" s="10">
        <f>IF($C46="","",IF($G46=_xlfn.MAXIFS($G$2:$G46,$B$2:$B46,$B46),"🏆 PR",""))</f>
        <v/>
      </c>
    </row>
    <row r="47">
      <c r="A47" s="7" t="n"/>
      <c r="B47" s="8" t="n"/>
      <c r="C47" s="8" t="n"/>
      <c r="D47" s="8" t="n"/>
      <c r="E47" s="8" t="n"/>
      <c r="F47" s="9">
        <f>IF($C47="","",$C47*$D47)</f>
        <v/>
      </c>
      <c r="G47" s="9">
        <f>IF($C47="","",ROUND($C47*(1+$D47/30),1))</f>
        <v/>
      </c>
      <c r="H47" s="10">
        <f>IF($C47="","",IF($G47=_xlfn.MAXIFS($G$2:$G47,$B$2:$B47,$B47),"🏆 PR",""))</f>
        <v/>
      </c>
    </row>
    <row r="48">
      <c r="A48" s="7" t="n"/>
      <c r="B48" s="8" t="n"/>
      <c r="C48" s="8" t="n"/>
      <c r="D48" s="8" t="n"/>
      <c r="E48" s="8" t="n"/>
      <c r="F48" s="9">
        <f>IF($C48="","",$C48*$D48)</f>
        <v/>
      </c>
      <c r="G48" s="9">
        <f>IF($C48="","",ROUND($C48*(1+$D48/30),1))</f>
        <v/>
      </c>
      <c r="H48" s="10">
        <f>IF($C48="","",IF($G48=_xlfn.MAXIFS($G$2:$G48,$B$2:$B48,$B48),"🏆 PR",""))</f>
        <v/>
      </c>
    </row>
    <row r="49">
      <c r="A49" s="7" t="n"/>
      <c r="B49" s="8" t="n"/>
      <c r="C49" s="8" t="n"/>
      <c r="D49" s="8" t="n"/>
      <c r="E49" s="8" t="n"/>
      <c r="F49" s="9">
        <f>IF($C49="","",$C49*$D49)</f>
        <v/>
      </c>
      <c r="G49" s="9">
        <f>IF($C49="","",ROUND($C49*(1+$D49/30),1))</f>
        <v/>
      </c>
      <c r="H49" s="10">
        <f>IF($C49="","",IF($G49=_xlfn.MAXIFS($G$2:$G49,$B$2:$B49,$B49),"🏆 PR",""))</f>
        <v/>
      </c>
    </row>
    <row r="50">
      <c r="A50" s="7" t="n"/>
      <c r="B50" s="8" t="n"/>
      <c r="C50" s="8" t="n"/>
      <c r="D50" s="8" t="n"/>
      <c r="E50" s="8" t="n"/>
      <c r="F50" s="9">
        <f>IF($C50="","",$C50*$D50)</f>
        <v/>
      </c>
      <c r="G50" s="9">
        <f>IF($C50="","",ROUND($C50*(1+$D50/30),1))</f>
        <v/>
      </c>
      <c r="H50" s="10">
        <f>IF($C50="","",IF($G50=_xlfn.MAXIFS($G$2:$G50,$B$2:$B50,$B50),"🏆 PR",""))</f>
        <v/>
      </c>
    </row>
    <row r="51">
      <c r="A51" s="7" t="n"/>
      <c r="B51" s="8" t="n"/>
      <c r="C51" s="8" t="n"/>
      <c r="D51" s="8" t="n"/>
      <c r="E51" s="8" t="n"/>
      <c r="F51" s="9">
        <f>IF($C51="","",$C51*$D51)</f>
        <v/>
      </c>
      <c r="G51" s="9">
        <f>IF($C51="","",ROUND($C51*(1+$D51/30),1))</f>
        <v/>
      </c>
      <c r="H51" s="10">
        <f>IF($C51="","",IF($G51=_xlfn.MAXIFS($G$2:$G51,$B$2:$B51,$B51),"🏆 PR",""))</f>
        <v/>
      </c>
    </row>
    <row r="52">
      <c r="A52" s="7" t="n"/>
      <c r="B52" s="8" t="n"/>
      <c r="C52" s="8" t="n"/>
      <c r="D52" s="8" t="n"/>
      <c r="E52" s="8" t="n"/>
      <c r="F52" s="9">
        <f>IF($C52="","",$C52*$D52)</f>
        <v/>
      </c>
      <c r="G52" s="9">
        <f>IF($C52="","",ROUND($C52*(1+$D52/30),1))</f>
        <v/>
      </c>
      <c r="H52" s="10">
        <f>IF($C52="","",IF($G52=_xlfn.MAXIFS($G$2:$G52,$B$2:$B52,$B52),"🏆 PR",""))</f>
        <v/>
      </c>
    </row>
    <row r="53">
      <c r="A53" s="7" t="n"/>
      <c r="B53" s="8" t="n"/>
      <c r="C53" s="8" t="n"/>
      <c r="D53" s="8" t="n"/>
      <c r="E53" s="8" t="n"/>
      <c r="F53" s="9">
        <f>IF($C53="","",$C53*$D53)</f>
        <v/>
      </c>
      <c r="G53" s="9">
        <f>IF($C53="","",ROUND($C53*(1+$D53/30),1))</f>
        <v/>
      </c>
      <c r="H53" s="10">
        <f>IF($C53="","",IF($G53=_xlfn.MAXIFS($G$2:$G53,$B$2:$B53,$B53),"🏆 PR",""))</f>
        <v/>
      </c>
    </row>
    <row r="54">
      <c r="A54" s="7" t="n"/>
      <c r="B54" s="8" t="n"/>
      <c r="C54" s="8" t="n"/>
      <c r="D54" s="8" t="n"/>
      <c r="E54" s="8" t="n"/>
      <c r="F54" s="9">
        <f>IF($C54="","",$C54*$D54)</f>
        <v/>
      </c>
      <c r="G54" s="9">
        <f>IF($C54="","",ROUND($C54*(1+$D54/30),1))</f>
        <v/>
      </c>
      <c r="H54" s="10">
        <f>IF($C54="","",IF($G54=_xlfn.MAXIFS($G$2:$G54,$B$2:$B54,$B54),"🏆 PR",""))</f>
        <v/>
      </c>
    </row>
    <row r="55">
      <c r="A55" s="7" t="n"/>
      <c r="B55" s="8" t="n"/>
      <c r="C55" s="8" t="n"/>
      <c r="D55" s="8" t="n"/>
      <c r="E55" s="8" t="n"/>
      <c r="F55" s="9">
        <f>IF($C55="","",$C55*$D55)</f>
        <v/>
      </c>
      <c r="G55" s="9">
        <f>IF($C55="","",ROUND($C55*(1+$D55/30),1))</f>
        <v/>
      </c>
      <c r="H55" s="10">
        <f>IF($C55="","",IF($G55=_xlfn.MAXIFS($G$2:$G55,$B$2:$B55,$B55),"🏆 PR",""))</f>
        <v/>
      </c>
    </row>
    <row r="56">
      <c r="A56" s="7" t="n"/>
      <c r="B56" s="8" t="n"/>
      <c r="C56" s="8" t="n"/>
      <c r="D56" s="8" t="n"/>
      <c r="E56" s="8" t="n"/>
      <c r="F56" s="9">
        <f>IF($C56="","",$C56*$D56)</f>
        <v/>
      </c>
      <c r="G56" s="9">
        <f>IF($C56="","",ROUND($C56*(1+$D56/30),1))</f>
        <v/>
      </c>
      <c r="H56" s="10">
        <f>IF($C56="","",IF($G56=_xlfn.MAXIFS($G$2:$G56,$B$2:$B56,$B56),"🏆 PR",""))</f>
        <v/>
      </c>
    </row>
    <row r="57">
      <c r="A57" s="7" t="n"/>
      <c r="B57" s="8" t="n"/>
      <c r="C57" s="8" t="n"/>
      <c r="D57" s="8" t="n"/>
      <c r="E57" s="8" t="n"/>
      <c r="F57" s="9">
        <f>IF($C57="","",$C57*$D57)</f>
        <v/>
      </c>
      <c r="G57" s="9">
        <f>IF($C57="","",ROUND($C57*(1+$D57/30),1))</f>
        <v/>
      </c>
      <c r="H57" s="10">
        <f>IF($C57="","",IF($G57=_xlfn.MAXIFS($G$2:$G57,$B$2:$B57,$B57),"🏆 PR",""))</f>
        <v/>
      </c>
    </row>
    <row r="58">
      <c r="A58" s="7" t="n"/>
      <c r="B58" s="8" t="n"/>
      <c r="C58" s="8" t="n"/>
      <c r="D58" s="8" t="n"/>
      <c r="E58" s="8" t="n"/>
      <c r="F58" s="9">
        <f>IF($C58="","",$C58*$D58)</f>
        <v/>
      </c>
      <c r="G58" s="9">
        <f>IF($C58="","",ROUND($C58*(1+$D58/30),1))</f>
        <v/>
      </c>
      <c r="H58" s="10">
        <f>IF($C58="","",IF($G58=_xlfn.MAXIFS($G$2:$G58,$B$2:$B58,$B58),"🏆 PR",""))</f>
        <v/>
      </c>
    </row>
    <row r="59">
      <c r="A59" s="7" t="n"/>
      <c r="B59" s="8" t="n"/>
      <c r="C59" s="8" t="n"/>
      <c r="D59" s="8" t="n"/>
      <c r="E59" s="8" t="n"/>
      <c r="F59" s="9">
        <f>IF($C59="","",$C59*$D59)</f>
        <v/>
      </c>
      <c r="G59" s="9">
        <f>IF($C59="","",ROUND($C59*(1+$D59/30),1))</f>
        <v/>
      </c>
      <c r="H59" s="10">
        <f>IF($C59="","",IF($G59=_xlfn.MAXIFS($G$2:$G59,$B$2:$B59,$B59),"🏆 PR",""))</f>
        <v/>
      </c>
    </row>
    <row r="60">
      <c r="A60" s="7" t="n"/>
      <c r="B60" s="8" t="n"/>
      <c r="C60" s="8" t="n"/>
      <c r="D60" s="8" t="n"/>
      <c r="E60" s="8" t="n"/>
      <c r="F60" s="9">
        <f>IF($C60="","",$C60*$D60)</f>
        <v/>
      </c>
      <c r="G60" s="9">
        <f>IF($C60="","",ROUND($C60*(1+$D60/30),1))</f>
        <v/>
      </c>
      <c r="H60" s="10">
        <f>IF($C60="","",IF($G60=_xlfn.MAXIFS($G$2:$G60,$B$2:$B60,$B60),"🏆 PR",""))</f>
        <v/>
      </c>
    </row>
    <row r="61">
      <c r="A61" s="7" t="n"/>
      <c r="B61" s="8" t="n"/>
      <c r="C61" s="8" t="n"/>
      <c r="D61" s="8" t="n"/>
      <c r="E61" s="8" t="n"/>
      <c r="F61" s="9">
        <f>IF($C61="","",$C61*$D61)</f>
        <v/>
      </c>
      <c r="G61" s="9">
        <f>IF($C61="","",ROUND($C61*(1+$D61/30),1))</f>
        <v/>
      </c>
      <c r="H61" s="10">
        <f>IF($C61="","",IF($G61=_xlfn.MAXIFS($G$2:$G61,$B$2:$B61,$B61),"🏆 PR",""))</f>
        <v/>
      </c>
    </row>
  </sheetData>
  <dataValidations count="1">
    <dataValidation sqref="B2:B61" showDropDown="0" showInputMessage="0" showErrorMessage="0" allowBlank="1" type="list">
      <formula1>='Exercises'!$A$2:$A$21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6" customWidth="1" min="4" max="4"/>
    <col width="12" customWidth="1" min="5" max="5"/>
    <col width="15" customWidth="1" min="6" max="6"/>
    <col width="20" customWidth="1" min="7" max="7"/>
  </cols>
  <sheetData>
    <row r="2">
      <c r="B2" s="1" t="inlineStr">
        <is>
          <t>PROGRESS DASHBOARD</t>
        </is>
      </c>
    </row>
    <row r="3">
      <c r="B3" s="2" t="inlineStr">
        <is>
          <t>Best lifts, total work, and your next target — updates as you log.</t>
        </is>
      </c>
    </row>
    <row r="5">
      <c r="B5" s="11" t="inlineStr">
        <is>
          <t>This week's total volume (kg):</t>
        </is>
      </c>
      <c r="D5" s="12">
        <f>SUMIFS('Workout Log'!$F$2:$F$61,'Workout Log'!$A$2:$A$61,"&gt;="&amp;(TODAY()-7))</f>
        <v/>
      </c>
    </row>
    <row r="7">
      <c r="B7" s="5" t="inlineStr">
        <is>
          <t>Exercise</t>
        </is>
      </c>
      <c r="C7" s="5" t="inlineStr">
        <is>
          <t>Best Est. 1RM</t>
        </is>
      </c>
      <c r="D7" s="5" t="inlineStr">
        <is>
          <t>Heaviest Set (kg)</t>
        </is>
      </c>
      <c r="E7" s="5" t="inlineStr">
        <is>
          <t>Total Sets</t>
        </is>
      </c>
      <c r="F7" s="5" t="inlineStr">
        <is>
          <t>Total Volume</t>
        </is>
      </c>
      <c r="G7" s="5" t="inlineStr">
        <is>
          <t>Suggested Next Weight</t>
        </is>
      </c>
    </row>
    <row r="8">
      <c r="B8" s="13">
        <f>'Exercises'!A2</f>
        <v/>
      </c>
      <c r="C8" s="14">
        <f>IF(COUNTIF('Workout Log'!$B$2:$B$61,$B8)=0,"-",_xlfn.MAXIFS('Workout Log'!$G$2:$G$61,'Workout Log'!$B$2:$B$61,$B8))</f>
        <v/>
      </c>
      <c r="D8" s="14">
        <f>IF(COUNTIF('Workout Log'!$B$2:$B$61,$B8)=0,"-",_xlfn.MAXIFS('Workout Log'!$C$2:$C$61,'Workout Log'!$B$2:$B$61,$B8))</f>
        <v/>
      </c>
      <c r="E8" s="14">
        <f>COUNTIF('Workout Log'!$B$2:$B$61,$B8)</f>
        <v/>
      </c>
      <c r="F8" s="15">
        <f>SUMIF('Workout Log'!$B$2:$B$61,$B8,'Workout Log'!$F$2:$F$61)</f>
        <v/>
      </c>
      <c r="G8" s="16">
        <f>IF(COUNTIF('Workout Log'!$B$2:$B$61,$B8)=0,"-",_xlfn.MAXIFS('Workout Log'!$C$2:$C$61,'Workout Log'!$B$2:$B$61,$B8)+2.5)</f>
        <v/>
      </c>
    </row>
    <row r="9">
      <c r="B9" s="13">
        <f>'Exercises'!A3</f>
        <v/>
      </c>
      <c r="C9" s="14">
        <f>IF(COUNTIF('Workout Log'!$B$2:$B$61,$B9)=0,"-",_xlfn.MAXIFS('Workout Log'!$G$2:$G$61,'Workout Log'!$B$2:$B$61,$B9))</f>
        <v/>
      </c>
      <c r="D9" s="14">
        <f>IF(COUNTIF('Workout Log'!$B$2:$B$61,$B9)=0,"-",_xlfn.MAXIFS('Workout Log'!$C$2:$C$61,'Workout Log'!$B$2:$B$61,$B9))</f>
        <v/>
      </c>
      <c r="E9" s="14">
        <f>COUNTIF('Workout Log'!$B$2:$B$61,$B9)</f>
        <v/>
      </c>
      <c r="F9" s="15">
        <f>SUMIF('Workout Log'!$B$2:$B$61,$B9,'Workout Log'!$F$2:$F$61)</f>
        <v/>
      </c>
      <c r="G9" s="16">
        <f>IF(COUNTIF('Workout Log'!$B$2:$B$61,$B9)=0,"-",_xlfn.MAXIFS('Workout Log'!$C$2:$C$61,'Workout Log'!$B$2:$B$61,$B9)+2.5)</f>
        <v/>
      </c>
    </row>
    <row r="10">
      <c r="B10" s="13">
        <f>'Exercises'!A4</f>
        <v/>
      </c>
      <c r="C10" s="14">
        <f>IF(COUNTIF('Workout Log'!$B$2:$B$61,$B10)=0,"-",_xlfn.MAXIFS('Workout Log'!$G$2:$G$61,'Workout Log'!$B$2:$B$61,$B10))</f>
        <v/>
      </c>
      <c r="D10" s="14">
        <f>IF(COUNTIF('Workout Log'!$B$2:$B$61,$B10)=0,"-",_xlfn.MAXIFS('Workout Log'!$C$2:$C$61,'Workout Log'!$B$2:$B$61,$B10))</f>
        <v/>
      </c>
      <c r="E10" s="14">
        <f>COUNTIF('Workout Log'!$B$2:$B$61,$B10)</f>
        <v/>
      </c>
      <c r="F10" s="15">
        <f>SUMIF('Workout Log'!$B$2:$B$61,$B10,'Workout Log'!$F$2:$F$61)</f>
        <v/>
      </c>
      <c r="G10" s="16">
        <f>IF(COUNTIF('Workout Log'!$B$2:$B$61,$B10)=0,"-",_xlfn.MAXIFS('Workout Log'!$C$2:$C$61,'Workout Log'!$B$2:$B$61,$B10)+2.5)</f>
        <v/>
      </c>
    </row>
    <row r="11">
      <c r="B11" s="13">
        <f>'Exercises'!A5</f>
        <v/>
      </c>
      <c r="C11" s="14">
        <f>IF(COUNTIF('Workout Log'!$B$2:$B$61,$B11)=0,"-",_xlfn.MAXIFS('Workout Log'!$G$2:$G$61,'Workout Log'!$B$2:$B$61,$B11))</f>
        <v/>
      </c>
      <c r="D11" s="14">
        <f>IF(COUNTIF('Workout Log'!$B$2:$B$61,$B11)=0,"-",_xlfn.MAXIFS('Workout Log'!$C$2:$C$61,'Workout Log'!$B$2:$B$61,$B11))</f>
        <v/>
      </c>
      <c r="E11" s="14">
        <f>COUNTIF('Workout Log'!$B$2:$B$61,$B11)</f>
        <v/>
      </c>
      <c r="F11" s="15">
        <f>SUMIF('Workout Log'!$B$2:$B$61,$B11,'Workout Log'!$F$2:$F$61)</f>
        <v/>
      </c>
      <c r="G11" s="16">
        <f>IF(COUNTIF('Workout Log'!$B$2:$B$61,$B11)=0,"-",_xlfn.MAXIFS('Workout Log'!$C$2:$C$61,'Workout Log'!$B$2:$B$61,$B11)+2.5)</f>
        <v/>
      </c>
    </row>
    <row r="12">
      <c r="B12" s="13">
        <f>'Exercises'!A6</f>
        <v/>
      </c>
      <c r="C12" s="14">
        <f>IF(COUNTIF('Workout Log'!$B$2:$B$61,$B12)=0,"-",_xlfn.MAXIFS('Workout Log'!$G$2:$G$61,'Workout Log'!$B$2:$B$61,$B12))</f>
        <v/>
      </c>
      <c r="D12" s="14">
        <f>IF(COUNTIF('Workout Log'!$B$2:$B$61,$B12)=0,"-",_xlfn.MAXIFS('Workout Log'!$C$2:$C$61,'Workout Log'!$B$2:$B$61,$B12))</f>
        <v/>
      </c>
      <c r="E12" s="14">
        <f>COUNTIF('Workout Log'!$B$2:$B$61,$B12)</f>
        <v/>
      </c>
      <c r="F12" s="15">
        <f>SUMIF('Workout Log'!$B$2:$B$61,$B12,'Workout Log'!$F$2:$F$61)</f>
        <v/>
      </c>
      <c r="G12" s="16">
        <f>IF(COUNTIF('Workout Log'!$B$2:$B$61,$B12)=0,"-",_xlfn.MAXIFS('Workout Log'!$C$2:$C$61,'Workout Log'!$B$2:$B$61,$B12)+2.5)</f>
        <v/>
      </c>
    </row>
    <row r="13">
      <c r="B13" s="13">
        <f>'Exercises'!A7</f>
        <v/>
      </c>
      <c r="C13" s="14">
        <f>IF(COUNTIF('Workout Log'!$B$2:$B$61,$B13)=0,"-",_xlfn.MAXIFS('Workout Log'!$G$2:$G$61,'Workout Log'!$B$2:$B$61,$B13))</f>
        <v/>
      </c>
      <c r="D13" s="14">
        <f>IF(COUNTIF('Workout Log'!$B$2:$B$61,$B13)=0,"-",_xlfn.MAXIFS('Workout Log'!$C$2:$C$61,'Workout Log'!$B$2:$B$61,$B13))</f>
        <v/>
      </c>
      <c r="E13" s="14">
        <f>COUNTIF('Workout Log'!$B$2:$B$61,$B13)</f>
        <v/>
      </c>
      <c r="F13" s="15">
        <f>SUMIF('Workout Log'!$B$2:$B$61,$B13,'Workout Log'!$F$2:$F$61)</f>
        <v/>
      </c>
      <c r="G13" s="16">
        <f>IF(COUNTIF('Workout Log'!$B$2:$B$61,$B13)=0,"-",_xlfn.MAXIFS('Workout Log'!$C$2:$C$61,'Workout Log'!$B$2:$B$61,$B13)+2.5)</f>
        <v/>
      </c>
    </row>
    <row r="14">
      <c r="B14" s="13">
        <f>'Exercises'!A8</f>
        <v/>
      </c>
      <c r="C14" s="14">
        <f>IF(COUNTIF('Workout Log'!$B$2:$B$61,$B14)=0,"-",_xlfn.MAXIFS('Workout Log'!$G$2:$G$61,'Workout Log'!$B$2:$B$61,$B14))</f>
        <v/>
      </c>
      <c r="D14" s="14">
        <f>IF(COUNTIF('Workout Log'!$B$2:$B$61,$B14)=0,"-",_xlfn.MAXIFS('Workout Log'!$C$2:$C$61,'Workout Log'!$B$2:$B$61,$B14))</f>
        <v/>
      </c>
      <c r="E14" s="14">
        <f>COUNTIF('Workout Log'!$B$2:$B$61,$B14)</f>
        <v/>
      </c>
      <c r="F14" s="15">
        <f>SUMIF('Workout Log'!$B$2:$B$61,$B14,'Workout Log'!$F$2:$F$61)</f>
        <v/>
      </c>
      <c r="G14" s="16">
        <f>IF(COUNTIF('Workout Log'!$B$2:$B$61,$B14)=0,"-",_xlfn.MAXIFS('Workout Log'!$C$2:$C$61,'Workout Log'!$B$2:$B$61,$B14)+2.5)</f>
        <v/>
      </c>
    </row>
    <row r="15">
      <c r="B15" s="13">
        <f>'Exercises'!A9</f>
        <v/>
      </c>
      <c r="C15" s="14">
        <f>IF(COUNTIF('Workout Log'!$B$2:$B$61,$B15)=0,"-",_xlfn.MAXIFS('Workout Log'!$G$2:$G$61,'Workout Log'!$B$2:$B$61,$B15))</f>
        <v/>
      </c>
      <c r="D15" s="14">
        <f>IF(COUNTIF('Workout Log'!$B$2:$B$61,$B15)=0,"-",_xlfn.MAXIFS('Workout Log'!$C$2:$C$61,'Workout Log'!$B$2:$B$61,$B15))</f>
        <v/>
      </c>
      <c r="E15" s="14">
        <f>COUNTIF('Workout Log'!$B$2:$B$61,$B15)</f>
        <v/>
      </c>
      <c r="F15" s="15">
        <f>SUMIF('Workout Log'!$B$2:$B$61,$B15,'Workout Log'!$F$2:$F$61)</f>
        <v/>
      </c>
      <c r="G15" s="16">
        <f>IF(COUNTIF('Workout Log'!$B$2:$B$61,$B15)=0,"-",_xlfn.MAXIFS('Workout Log'!$C$2:$C$61,'Workout Log'!$B$2:$B$61,$B15)+2.5)</f>
        <v/>
      </c>
    </row>
    <row r="16">
      <c r="B16" s="13">
        <f>'Exercises'!A10</f>
        <v/>
      </c>
      <c r="C16" s="14">
        <f>IF(COUNTIF('Workout Log'!$B$2:$B$61,$B16)=0,"-",_xlfn.MAXIFS('Workout Log'!$G$2:$G$61,'Workout Log'!$B$2:$B$61,$B16))</f>
        <v/>
      </c>
      <c r="D16" s="14">
        <f>IF(COUNTIF('Workout Log'!$B$2:$B$61,$B16)=0,"-",_xlfn.MAXIFS('Workout Log'!$C$2:$C$61,'Workout Log'!$B$2:$B$61,$B16))</f>
        <v/>
      </c>
      <c r="E16" s="14">
        <f>COUNTIF('Workout Log'!$B$2:$B$61,$B16)</f>
        <v/>
      </c>
      <c r="F16" s="15">
        <f>SUMIF('Workout Log'!$B$2:$B$61,$B16,'Workout Log'!$F$2:$F$61)</f>
        <v/>
      </c>
      <c r="G16" s="16">
        <f>IF(COUNTIF('Workout Log'!$B$2:$B$61,$B16)=0,"-",_xlfn.MAXIFS('Workout Log'!$C$2:$C$61,'Workout Log'!$B$2:$B$61,$B16)+2.5)</f>
        <v/>
      </c>
    </row>
    <row r="17">
      <c r="B17" s="13">
        <f>'Exercises'!A11</f>
        <v/>
      </c>
      <c r="C17" s="14">
        <f>IF(COUNTIF('Workout Log'!$B$2:$B$61,$B17)=0,"-",_xlfn.MAXIFS('Workout Log'!$G$2:$G$61,'Workout Log'!$B$2:$B$61,$B17))</f>
        <v/>
      </c>
      <c r="D17" s="14">
        <f>IF(COUNTIF('Workout Log'!$B$2:$B$61,$B17)=0,"-",_xlfn.MAXIFS('Workout Log'!$C$2:$C$61,'Workout Log'!$B$2:$B$61,$B17))</f>
        <v/>
      </c>
      <c r="E17" s="14">
        <f>COUNTIF('Workout Log'!$B$2:$B$61,$B17)</f>
        <v/>
      </c>
      <c r="F17" s="15">
        <f>SUMIF('Workout Log'!$B$2:$B$61,$B17,'Workout Log'!$F$2:$F$61)</f>
        <v/>
      </c>
      <c r="G17" s="16">
        <f>IF(COUNTIF('Workout Log'!$B$2:$B$61,$B17)=0,"-",_xlfn.MAXIFS('Workout Log'!$C$2:$C$61,'Workout Log'!$B$2:$B$61,$B17)+2.5)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2026-08-15T12:41:28Z</dcterms:created>
  <dcterms:modified xsi:type="dcterms:W3CDTF">2026-08-15T12:41:28Z</dcterms:modified>
</cp:coreProperties>
</file>