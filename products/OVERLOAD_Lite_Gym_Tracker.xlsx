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Workout Log" sheetId="2" state="visible" r:id="rId2"/>
    <sheet name="★ Upg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111827"/>
      <sz val="18"/>
    </font>
    <font>
      <name val="Arial"/>
      <color rgb="004B5563"/>
      <sz val="11"/>
    </font>
    <font>
      <name val="Arial"/>
      <b val="1"/>
      <color rgb="002563EB"/>
      <sz val="12"/>
    </font>
    <font>
      <name val="Arial"/>
      <color rgb="00111827"/>
      <sz val="11"/>
    </font>
    <font>
      <name val="Arial"/>
      <b val="1"/>
      <color rgb="00FFFFFF"/>
      <sz val="11"/>
    </font>
    <font>
      <name val="Arial"/>
      <b val="1"/>
      <color rgb="00B45309"/>
    </font>
    <font>
      <name val="Arial"/>
      <b val="1"/>
      <color rgb="002563EB"/>
      <sz val="13"/>
    </font>
    <font>
      <name val="Arial"/>
      <b val="1"/>
      <color rgb="00111827"/>
      <sz val="13"/>
    </font>
    <font>
      <name val="Arial"/>
      <color rgb="002563EB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AF2FB"/>
      </patternFill>
    </fill>
    <fill>
      <patternFill patternType="solid">
        <fgColor rgb="00F3F4F6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2">
      <c r="B2" s="1" t="inlineStr">
        <is>
          <t>OVERLOAD — Free Lite</t>
        </is>
      </c>
    </row>
    <row r="3">
      <c r="B3" s="2" t="inlineStr">
        <is>
          <t>Log a set; it calculates your 1-rep-max and flags your PRs.</t>
        </is>
      </c>
    </row>
    <row r="5">
      <c r="B5" s="3" t="inlineStr">
        <is>
          <t>HOW TO USE</t>
        </is>
      </c>
    </row>
    <row r="6">
      <c r="B6" s="4" t="inlineStr">
        <is>
          <t>1.  Go to the 'Workout Log' tab.</t>
        </is>
      </c>
    </row>
    <row r="7">
      <c r="B7" s="4" t="inlineStr">
        <is>
          <t>2.  Fill the blue cells: Date, Exercise, Weight, Reps.</t>
        </is>
      </c>
    </row>
    <row r="8">
      <c r="B8" s="4" t="inlineStr">
        <is>
          <t>3.  Volume, Estimated 1RM and a 🏆 PR flag fill in automatically.</t>
        </is>
      </c>
    </row>
    <row r="10">
      <c r="B10" s="2" t="inlineStr">
        <is>
          <t>BLUE = you fill in     GREY = calculated for you</t>
        </is>
      </c>
    </row>
    <row r="11">
      <c r="B11" s="3" t="inlineStr">
        <is>
          <t>This is the free Lite version — see the ★ Upgrade tab for the full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8" customWidth="1" min="4" max="4"/>
    <col width="10" customWidth="1" min="5" max="5"/>
    <col width="12" customWidth="1" min="6" max="6"/>
    <col width="11" customWidth="1" min="7" max="7"/>
  </cols>
  <sheetData>
    <row r="1">
      <c r="A1" s="5" t="inlineStr">
        <is>
          <t>Date</t>
        </is>
      </c>
      <c r="B1" s="5" t="inlineStr">
        <is>
          <t>Exercise</t>
        </is>
      </c>
      <c r="C1" s="5" t="inlineStr">
        <is>
          <t>Weight</t>
        </is>
      </c>
      <c r="D1" s="5" t="inlineStr">
        <is>
          <t>Reps</t>
        </is>
      </c>
      <c r="E1" s="5" t="inlineStr">
        <is>
          <t>Volume</t>
        </is>
      </c>
      <c r="F1" s="5" t="inlineStr">
        <is>
          <t>Est. 1RM</t>
        </is>
      </c>
      <c r="G1" s="5" t="inlineStr">
        <is>
          <t>New PR?</t>
        </is>
      </c>
    </row>
    <row r="2">
      <c r="A2" s="6" t="n">
        <v>46238</v>
      </c>
      <c r="B2" s="7" t="inlineStr">
        <is>
          <t>Bench Press</t>
        </is>
      </c>
      <c r="C2" s="7" t="n">
        <v>60</v>
      </c>
      <c r="D2" s="7" t="n">
        <v>8</v>
      </c>
      <c r="E2" s="8">
        <f>IF(AND(ISNUMBER($C2),ISNUMBER($D2)),$C2*$D2,"")</f>
        <v/>
      </c>
      <c r="F2" s="8">
        <f>IF(AND(ISNUMBER($C2),ISNUMBER($D2)),ROUND($C2*(1+$D2/30),1),"")</f>
        <v/>
      </c>
      <c r="G2" s="9">
        <f>IF($F2="","",IF(ROUND($C2*(1+$D2/30),1)=ROUND(SUMPRODUCT(MAX(($B$2:$B2=$B2)*N($C$2:$C2)*(1+N($D$2:$D2)/30))),1),"🏆 PR",""))</f>
        <v/>
      </c>
    </row>
    <row r="3">
      <c r="A3" s="6" t="n">
        <v>46238</v>
      </c>
      <c r="B3" s="7" t="inlineStr">
        <is>
          <t>Bench Press</t>
        </is>
      </c>
      <c r="C3" s="7" t="n">
        <v>55</v>
      </c>
      <c r="D3" s="7" t="n">
        <v>10</v>
      </c>
      <c r="E3" s="8">
        <f>IF(AND(ISNUMBER($C3),ISNUMBER($D3)),$C3*$D3,"")</f>
        <v/>
      </c>
      <c r="F3" s="8">
        <f>IF(AND(ISNUMBER($C3),ISNUMBER($D3)),ROUND($C3*(1+$D3/30),1),"")</f>
        <v/>
      </c>
      <c r="G3" s="9">
        <f>IF($F3="","",IF(ROUND($C3*(1+$D3/30),1)=ROUND(SUMPRODUCT(MAX(($B$2:$B3=$B3)*N($C$2:$C3)*(1+N($D$2:$D3)/30))),1),"🏆 PR",""))</f>
        <v/>
      </c>
    </row>
    <row r="4">
      <c r="A4" s="6" t="n">
        <v>46240</v>
      </c>
      <c r="B4" s="7" t="inlineStr">
        <is>
          <t>Squat</t>
        </is>
      </c>
      <c r="C4" s="7" t="n">
        <v>100</v>
      </c>
      <c r="D4" s="7" t="n">
        <v>5</v>
      </c>
      <c r="E4" s="8">
        <f>IF(AND(ISNUMBER($C4),ISNUMBER($D4)),$C4*$D4,"")</f>
        <v/>
      </c>
      <c r="F4" s="8">
        <f>IF(AND(ISNUMBER($C4),ISNUMBER($D4)),ROUND($C4*(1+$D4/30),1),"")</f>
        <v/>
      </c>
      <c r="G4" s="9">
        <f>IF($F4="","",IF(ROUND($C4*(1+$D4/30),1)=ROUND(SUMPRODUCT(MAX(($B$2:$B4=$B4)*N($C$2:$C4)*(1+N($D$2:$D4)/30))),1),"🏆 PR",""))</f>
        <v/>
      </c>
    </row>
    <row r="5">
      <c r="A5" s="6" t="n">
        <v>46245</v>
      </c>
      <c r="B5" s="7" t="inlineStr">
        <is>
          <t>Bench Press</t>
        </is>
      </c>
      <c r="C5" s="7" t="n">
        <v>62.5</v>
      </c>
      <c r="D5" s="7" t="n">
        <v>8</v>
      </c>
      <c r="E5" s="8">
        <f>IF(AND(ISNUMBER($C5),ISNUMBER($D5)),$C5*$D5,"")</f>
        <v/>
      </c>
      <c r="F5" s="8">
        <f>IF(AND(ISNUMBER($C5),ISNUMBER($D5)),ROUND($C5*(1+$D5/30),1),"")</f>
        <v/>
      </c>
      <c r="G5" s="9">
        <f>IF($F5="","",IF(ROUND($C5*(1+$D5/30),1)=ROUND(SUMPRODUCT(MAX(($B$2:$B5=$B5)*N($C$2:$C5)*(1+N($D$2:$D5)/30))),1),"🏆 PR",""))</f>
        <v/>
      </c>
    </row>
    <row r="6">
      <c r="A6" s="6" t="n">
        <v>46247</v>
      </c>
      <c r="B6" s="7" t="inlineStr">
        <is>
          <t>Deadlift</t>
        </is>
      </c>
      <c r="C6" s="7" t="n">
        <v>120</v>
      </c>
      <c r="D6" s="7" t="n">
        <v>5</v>
      </c>
      <c r="E6" s="8">
        <f>IF(AND(ISNUMBER($C6),ISNUMBER($D6)),$C6*$D6,"")</f>
        <v/>
      </c>
      <c r="F6" s="8">
        <f>IF(AND(ISNUMBER($C6),ISNUMBER($D6)),ROUND($C6*(1+$D6/30),1),"")</f>
        <v/>
      </c>
      <c r="G6" s="9">
        <f>IF($F6="","",IF(ROUND($C6*(1+$D6/30),1)=ROUND(SUMPRODUCT(MAX(($B$2:$B6=$B6)*N($C$2:$C6)*(1+N($D$2:$D6)/30))),1),"🏆 PR",""))</f>
        <v/>
      </c>
    </row>
    <row r="7">
      <c r="A7" s="6" t="n"/>
      <c r="B7" s="7" t="n"/>
      <c r="C7" s="7" t="n"/>
      <c r="D7" s="7" t="n"/>
      <c r="E7" s="8">
        <f>IF(AND(ISNUMBER($C7),ISNUMBER($D7)),$C7*$D7,"")</f>
        <v/>
      </c>
      <c r="F7" s="8">
        <f>IF(AND(ISNUMBER($C7),ISNUMBER($D7)),ROUND($C7*(1+$D7/30),1),"")</f>
        <v/>
      </c>
      <c r="G7" s="9">
        <f>IF($F7="","",IF(ROUND($C7*(1+$D7/30),1)=ROUND(SUMPRODUCT(MAX(($B$2:$B7=$B7)*N($C$2:$C7)*(1+N($D$2:$D7)/30))),1),"🏆 PR",""))</f>
        <v/>
      </c>
    </row>
    <row r="8">
      <c r="A8" s="6" t="n"/>
      <c r="B8" s="7" t="n"/>
      <c r="C8" s="7" t="n"/>
      <c r="D8" s="7" t="n"/>
      <c r="E8" s="8">
        <f>IF(AND(ISNUMBER($C8),ISNUMBER($D8)),$C8*$D8,"")</f>
        <v/>
      </c>
      <c r="F8" s="8">
        <f>IF(AND(ISNUMBER($C8),ISNUMBER($D8)),ROUND($C8*(1+$D8/30),1),"")</f>
        <v/>
      </c>
      <c r="G8" s="9">
        <f>IF($F8="","",IF(ROUND($C8*(1+$D8/30),1)=ROUND(SUMPRODUCT(MAX(($B$2:$B8=$B8)*N($C$2:$C8)*(1+N($D$2:$D8)/30))),1),"🏆 PR",""))</f>
        <v/>
      </c>
    </row>
    <row r="9">
      <c r="A9" s="6" t="n"/>
      <c r="B9" s="7" t="n"/>
      <c r="C9" s="7" t="n"/>
      <c r="D9" s="7" t="n"/>
      <c r="E9" s="8">
        <f>IF(AND(ISNUMBER($C9),ISNUMBER($D9)),$C9*$D9,"")</f>
        <v/>
      </c>
      <c r="F9" s="8">
        <f>IF(AND(ISNUMBER($C9),ISNUMBER($D9)),ROUND($C9*(1+$D9/30),1),"")</f>
        <v/>
      </c>
      <c r="G9" s="9">
        <f>IF($F9="","",IF(ROUND($C9*(1+$D9/30),1)=ROUND(SUMPRODUCT(MAX(($B$2:$B9=$B9)*N($C$2:$C9)*(1+N($D$2:$D9)/30))),1),"🏆 PR",""))</f>
        <v/>
      </c>
    </row>
    <row r="10">
      <c r="A10" s="6" t="n"/>
      <c r="B10" s="7" t="n"/>
      <c r="C10" s="7" t="n"/>
      <c r="D10" s="7" t="n"/>
      <c r="E10" s="8">
        <f>IF(AND(ISNUMBER($C10),ISNUMBER($D10)),$C10*$D10,"")</f>
        <v/>
      </c>
      <c r="F10" s="8">
        <f>IF(AND(ISNUMBER($C10),ISNUMBER($D10)),ROUND($C10*(1+$D10/30),1),"")</f>
        <v/>
      </c>
      <c r="G10" s="9">
        <f>IF($F10="","",IF(ROUND($C10*(1+$D10/30),1)=ROUND(SUMPRODUCT(MAX(($B$2:$B10=$B10)*N($C$2:$C10)*(1+N($D$2:$D10)/30))),1),"🏆 PR",""))</f>
        <v/>
      </c>
    </row>
    <row r="11">
      <c r="A11" s="6" t="n"/>
      <c r="B11" s="7" t="n"/>
      <c r="C11" s="7" t="n"/>
      <c r="D11" s="7" t="n"/>
      <c r="E11" s="8">
        <f>IF(AND(ISNUMBER($C11),ISNUMBER($D11)),$C11*$D11,"")</f>
        <v/>
      </c>
      <c r="F11" s="8">
        <f>IF(AND(ISNUMBER($C11),ISNUMBER($D11)),ROUND($C11*(1+$D11/30),1),"")</f>
        <v/>
      </c>
      <c r="G11" s="9">
        <f>IF($F11="","",IF(ROUND($C11*(1+$D11/30),1)=ROUND(SUMPRODUCT(MAX(($B$2:$B11=$B11)*N($C$2:$C11)*(1+N($D$2:$D11)/30))),1),"🏆 PR",""))</f>
        <v/>
      </c>
    </row>
    <row r="12">
      <c r="A12" s="6" t="n"/>
      <c r="B12" s="7" t="n"/>
      <c r="C12" s="7" t="n"/>
      <c r="D12" s="7" t="n"/>
      <c r="E12" s="8">
        <f>IF(AND(ISNUMBER($C12),ISNUMBER($D12)),$C12*$D12,"")</f>
        <v/>
      </c>
      <c r="F12" s="8">
        <f>IF(AND(ISNUMBER($C12),ISNUMBER($D12)),ROUND($C12*(1+$D12/30),1),"")</f>
        <v/>
      </c>
      <c r="G12" s="9">
        <f>IF($F12="","",IF(ROUND($C12*(1+$D12/30),1)=ROUND(SUMPRODUCT(MAX(($B$2:$B12=$B12)*N($C$2:$C12)*(1+N($D$2:$D12)/30))),1),"🏆 PR",""))</f>
        <v/>
      </c>
    </row>
    <row r="13">
      <c r="A13" s="6" t="n"/>
      <c r="B13" s="7" t="n"/>
      <c r="C13" s="7" t="n"/>
      <c r="D13" s="7" t="n"/>
      <c r="E13" s="8">
        <f>IF(AND(ISNUMBER($C13),ISNUMBER($D13)),$C13*$D13,"")</f>
        <v/>
      </c>
      <c r="F13" s="8">
        <f>IF(AND(ISNUMBER($C13),ISNUMBER($D13)),ROUND($C13*(1+$D13/30),1),"")</f>
        <v/>
      </c>
      <c r="G13" s="9">
        <f>IF($F13="","",IF(ROUND($C13*(1+$D13/30),1)=ROUND(SUMPRODUCT(MAX(($B$2:$B13=$B13)*N($C$2:$C13)*(1+N($D$2:$D13)/30))),1),"🏆 PR",""))</f>
        <v/>
      </c>
    </row>
    <row r="14">
      <c r="A14" s="6" t="n"/>
      <c r="B14" s="7" t="n"/>
      <c r="C14" s="7" t="n"/>
      <c r="D14" s="7" t="n"/>
      <c r="E14" s="8">
        <f>IF(AND(ISNUMBER($C14),ISNUMBER($D14)),$C14*$D14,"")</f>
        <v/>
      </c>
      <c r="F14" s="8">
        <f>IF(AND(ISNUMBER($C14),ISNUMBER($D14)),ROUND($C14*(1+$D14/30),1),"")</f>
        <v/>
      </c>
      <c r="G14" s="9">
        <f>IF($F14="","",IF(ROUND($C14*(1+$D14/30),1)=ROUND(SUMPRODUCT(MAX(($B$2:$B14=$B14)*N($C$2:$C14)*(1+N($D$2:$D14)/30))),1),"🏆 PR",""))</f>
        <v/>
      </c>
    </row>
    <row r="15">
      <c r="A15" s="6" t="n"/>
      <c r="B15" s="7" t="n"/>
      <c r="C15" s="7" t="n"/>
      <c r="D15" s="7" t="n"/>
      <c r="E15" s="8">
        <f>IF(AND(ISNUMBER($C15),ISNUMBER($D15)),$C15*$D15,"")</f>
        <v/>
      </c>
      <c r="F15" s="8">
        <f>IF(AND(ISNUMBER($C15),ISNUMBER($D15)),ROUND($C15*(1+$D15/30),1),"")</f>
        <v/>
      </c>
      <c r="G15" s="9">
        <f>IF($F15="","",IF(ROUND($C15*(1+$D15/30),1)=ROUND(SUMPRODUCT(MAX(($B$2:$B15=$B15)*N($C$2:$C15)*(1+N($D$2:$D15)/30))),1),"🏆 PR",""))</f>
        <v/>
      </c>
    </row>
    <row r="16">
      <c r="A16" s="6" t="n"/>
      <c r="B16" s="7" t="n"/>
      <c r="C16" s="7" t="n"/>
      <c r="D16" s="7" t="n"/>
      <c r="E16" s="8">
        <f>IF(AND(ISNUMBER($C16),ISNUMBER($D16)),$C16*$D16,"")</f>
        <v/>
      </c>
      <c r="F16" s="8">
        <f>IF(AND(ISNUMBER($C16),ISNUMBER($D16)),ROUND($C16*(1+$D16/30),1),"")</f>
        <v/>
      </c>
      <c r="G16" s="9">
        <f>IF($F16="","",IF(ROUND($C16*(1+$D16/30),1)=ROUND(SUMPRODUCT(MAX(($B$2:$B16=$B16)*N($C$2:$C16)*(1+N($D$2:$D16)/30))),1),"🏆 PR",""))</f>
        <v/>
      </c>
    </row>
    <row r="17">
      <c r="A17" s="6" t="n"/>
      <c r="B17" s="7" t="n"/>
      <c r="C17" s="7" t="n"/>
      <c r="D17" s="7" t="n"/>
      <c r="E17" s="8">
        <f>IF(AND(ISNUMBER($C17),ISNUMBER($D17)),$C17*$D17,"")</f>
        <v/>
      </c>
      <c r="F17" s="8">
        <f>IF(AND(ISNUMBER($C17),ISNUMBER($D17)),ROUND($C17*(1+$D17/30),1),"")</f>
        <v/>
      </c>
      <c r="G17" s="9">
        <f>IF($F17="","",IF(ROUND($C17*(1+$D17/30),1)=ROUND(SUMPRODUCT(MAX(($B$2:$B17=$B17)*N($C$2:$C17)*(1+N($D$2:$D17)/30))),1),"🏆 PR",""))</f>
        <v/>
      </c>
    </row>
    <row r="18">
      <c r="A18" s="6" t="n"/>
      <c r="B18" s="7" t="n"/>
      <c r="C18" s="7" t="n"/>
      <c r="D18" s="7" t="n"/>
      <c r="E18" s="8">
        <f>IF(AND(ISNUMBER($C18),ISNUMBER($D18)),$C18*$D18,"")</f>
        <v/>
      </c>
      <c r="F18" s="8">
        <f>IF(AND(ISNUMBER($C18),ISNUMBER($D18)),ROUND($C18*(1+$D18/30),1),"")</f>
        <v/>
      </c>
      <c r="G18" s="9">
        <f>IF($F18="","",IF(ROUND($C18*(1+$D18/30),1)=ROUND(SUMPRODUCT(MAX(($B$2:$B18=$B18)*N($C$2:$C18)*(1+N($D$2:$D18)/30))),1),"🏆 PR",""))</f>
        <v/>
      </c>
    </row>
    <row r="19">
      <c r="A19" s="6" t="n"/>
      <c r="B19" s="7" t="n"/>
      <c r="C19" s="7" t="n"/>
      <c r="D19" s="7" t="n"/>
      <c r="E19" s="8">
        <f>IF(AND(ISNUMBER($C19),ISNUMBER($D19)),$C19*$D19,"")</f>
        <v/>
      </c>
      <c r="F19" s="8">
        <f>IF(AND(ISNUMBER($C19),ISNUMBER($D19)),ROUND($C19*(1+$D19/30),1),"")</f>
        <v/>
      </c>
      <c r="G19" s="9">
        <f>IF($F19="","",IF(ROUND($C19*(1+$D19/30),1)=ROUND(SUMPRODUCT(MAX(($B$2:$B19=$B19)*N($C$2:$C19)*(1+N($D$2:$D19)/30))),1),"🏆 PR",""))</f>
        <v/>
      </c>
    </row>
    <row r="20">
      <c r="A20" s="6" t="n"/>
      <c r="B20" s="7" t="n"/>
      <c r="C20" s="7" t="n"/>
      <c r="D20" s="7" t="n"/>
      <c r="E20" s="8">
        <f>IF(AND(ISNUMBER($C20),ISNUMBER($D20)),$C20*$D20,"")</f>
        <v/>
      </c>
      <c r="F20" s="8">
        <f>IF(AND(ISNUMBER($C20),ISNUMBER($D20)),ROUND($C20*(1+$D20/30),1),"")</f>
        <v/>
      </c>
      <c r="G20" s="9">
        <f>IF($F20="","",IF(ROUND($C20*(1+$D20/30),1)=ROUND(SUMPRODUCT(MAX(($B$2:$B20=$B20)*N($C$2:$C20)*(1+N($D$2:$D20)/30))),1),"🏆 PR",""))</f>
        <v/>
      </c>
    </row>
    <row r="21">
      <c r="A21" s="6" t="n"/>
      <c r="B21" s="7" t="n"/>
      <c r="C21" s="7" t="n"/>
      <c r="D21" s="7" t="n"/>
      <c r="E21" s="8">
        <f>IF(AND(ISNUMBER($C21),ISNUMBER($D21)),$C21*$D21,"")</f>
        <v/>
      </c>
      <c r="F21" s="8">
        <f>IF(AND(ISNUMBER($C21),ISNUMBER($D21)),ROUND($C21*(1+$D21/30),1),"")</f>
        <v/>
      </c>
      <c r="G21" s="9">
        <f>IF($F21="","",IF(ROUND($C21*(1+$D21/30),1)=ROUND(SUMPRODUCT(MAX(($B$2:$B21=$B21)*N($C$2:$C21)*(1+N($D$2:$D21)/30))),1),"🏆 PR",""))</f>
        <v/>
      </c>
    </row>
    <row r="22">
      <c r="A22" s="6" t="n"/>
      <c r="B22" s="7" t="n"/>
      <c r="C22" s="7" t="n"/>
      <c r="D22" s="7" t="n"/>
      <c r="E22" s="8">
        <f>IF(AND(ISNUMBER($C22),ISNUMBER($D22)),$C22*$D22,"")</f>
        <v/>
      </c>
      <c r="F22" s="8">
        <f>IF(AND(ISNUMBER($C22),ISNUMBER($D22)),ROUND($C22*(1+$D22/30),1),"")</f>
        <v/>
      </c>
      <c r="G22" s="9">
        <f>IF($F22="","",IF(ROUND($C22*(1+$D22/30),1)=ROUND(SUMPRODUCT(MAX(($B$2:$B22=$B22)*N($C$2:$C22)*(1+N($D$2:$D22)/30))),1),"🏆 PR",""))</f>
        <v/>
      </c>
    </row>
    <row r="23">
      <c r="A23" s="6" t="n"/>
      <c r="B23" s="7" t="n"/>
      <c r="C23" s="7" t="n"/>
      <c r="D23" s="7" t="n"/>
      <c r="E23" s="8">
        <f>IF(AND(ISNUMBER($C23),ISNUMBER($D23)),$C23*$D23,"")</f>
        <v/>
      </c>
      <c r="F23" s="8">
        <f>IF(AND(ISNUMBER($C23),ISNUMBER($D23)),ROUND($C23*(1+$D23/30),1),"")</f>
        <v/>
      </c>
      <c r="G23" s="9">
        <f>IF($F23="","",IF(ROUND($C23*(1+$D23/30),1)=ROUND(SUMPRODUCT(MAX(($B$2:$B23=$B23)*N($C$2:$C23)*(1+N($D$2:$D23)/30))),1),"🏆 PR",""))</f>
        <v/>
      </c>
    </row>
    <row r="24">
      <c r="A24" s="6" t="n"/>
      <c r="B24" s="7" t="n"/>
      <c r="C24" s="7" t="n"/>
      <c r="D24" s="7" t="n"/>
      <c r="E24" s="8">
        <f>IF(AND(ISNUMBER($C24),ISNUMBER($D24)),$C24*$D24,"")</f>
        <v/>
      </c>
      <c r="F24" s="8">
        <f>IF(AND(ISNUMBER($C24),ISNUMBER($D24)),ROUND($C24*(1+$D24/30),1),"")</f>
        <v/>
      </c>
      <c r="G24" s="9">
        <f>IF($F24="","",IF(ROUND($C24*(1+$D24/30),1)=ROUND(SUMPRODUCT(MAX(($B$2:$B24=$B24)*N($C$2:$C24)*(1+N($D$2:$D24)/30))),1),"🏆 PR",""))</f>
        <v/>
      </c>
    </row>
    <row r="25">
      <c r="A25" s="6" t="n"/>
      <c r="B25" s="7" t="n"/>
      <c r="C25" s="7" t="n"/>
      <c r="D25" s="7" t="n"/>
      <c r="E25" s="8">
        <f>IF(AND(ISNUMBER($C25),ISNUMBER($D25)),$C25*$D25,"")</f>
        <v/>
      </c>
      <c r="F25" s="8">
        <f>IF(AND(ISNUMBER($C25),ISNUMBER($D25)),ROUND($C25*(1+$D25/30),1),"")</f>
        <v/>
      </c>
      <c r="G25" s="9">
        <f>IF($F25="","",IF(ROUND($C25*(1+$D25/30),1)=ROUND(SUMPRODUCT(MAX(($B$2:$B25=$B25)*N($C$2:$C25)*(1+N($D$2:$D25)/30))),1),"🏆 PR",""))</f>
        <v/>
      </c>
    </row>
    <row r="26">
      <c r="A26" s="6" t="n"/>
      <c r="B26" s="7" t="n"/>
      <c r="C26" s="7" t="n"/>
      <c r="D26" s="7" t="n"/>
      <c r="E26" s="8">
        <f>IF(AND(ISNUMBER($C26),ISNUMBER($D26)),$C26*$D26,"")</f>
        <v/>
      </c>
      <c r="F26" s="8">
        <f>IF(AND(ISNUMBER($C26),ISNUMBER($D26)),ROUND($C26*(1+$D26/30),1),"")</f>
        <v/>
      </c>
      <c r="G26" s="9">
        <f>IF($F26="","",IF(ROUND($C26*(1+$D26/30),1)=ROUND(SUMPRODUCT(MAX(($B$2:$B26=$B26)*N($C$2:$C26)*(1+N($D$2:$D26)/30))),1),"🏆 PR",""))</f>
        <v/>
      </c>
    </row>
    <row r="27">
      <c r="A27" s="6" t="n"/>
      <c r="B27" s="7" t="n"/>
      <c r="C27" s="7" t="n"/>
      <c r="D27" s="7" t="n"/>
      <c r="E27" s="8">
        <f>IF(AND(ISNUMBER($C27),ISNUMBER($D27)),$C27*$D27,"")</f>
        <v/>
      </c>
      <c r="F27" s="8">
        <f>IF(AND(ISNUMBER($C27),ISNUMBER($D27)),ROUND($C27*(1+$D27/30),1),"")</f>
        <v/>
      </c>
      <c r="G27" s="9">
        <f>IF($F27="","",IF(ROUND($C27*(1+$D27/30),1)=ROUND(SUMPRODUCT(MAX(($B$2:$B27=$B27)*N($C$2:$C27)*(1+N($D$2:$D27)/30))),1),"🏆 PR",""))</f>
        <v/>
      </c>
    </row>
    <row r="28">
      <c r="A28" s="6" t="n"/>
      <c r="B28" s="7" t="n"/>
      <c r="C28" s="7" t="n"/>
      <c r="D28" s="7" t="n"/>
      <c r="E28" s="8">
        <f>IF(AND(ISNUMBER($C28),ISNUMBER($D28)),$C28*$D28,"")</f>
        <v/>
      </c>
      <c r="F28" s="8">
        <f>IF(AND(ISNUMBER($C28),ISNUMBER($D28)),ROUND($C28*(1+$D28/30),1),"")</f>
        <v/>
      </c>
      <c r="G28" s="9">
        <f>IF($F28="","",IF(ROUND($C28*(1+$D28/30),1)=ROUND(SUMPRODUCT(MAX(($B$2:$B28=$B28)*N($C$2:$C28)*(1+N($D$2:$D28)/30))),1),"🏆 PR",""))</f>
        <v/>
      </c>
    </row>
    <row r="29">
      <c r="A29" s="6" t="n"/>
      <c r="B29" s="7" t="n"/>
      <c r="C29" s="7" t="n"/>
      <c r="D29" s="7" t="n"/>
      <c r="E29" s="8">
        <f>IF(AND(ISNUMBER($C29),ISNUMBER($D29)),$C29*$D29,"")</f>
        <v/>
      </c>
      <c r="F29" s="8">
        <f>IF(AND(ISNUMBER($C29),ISNUMBER($D29)),ROUND($C29*(1+$D29/30),1),"")</f>
        <v/>
      </c>
      <c r="G29" s="9">
        <f>IF($F29="","",IF(ROUND($C29*(1+$D29/30),1)=ROUND(SUMPRODUCT(MAX(($B$2:$B29=$B29)*N($C$2:$C29)*(1+N($D$2:$D29)/30))),1),"🏆 PR",""))</f>
        <v/>
      </c>
    </row>
    <row r="30">
      <c r="A30" s="6" t="n"/>
      <c r="B30" s="7" t="n"/>
      <c r="C30" s="7" t="n"/>
      <c r="D30" s="7" t="n"/>
      <c r="E30" s="8">
        <f>IF(AND(ISNUMBER($C30),ISNUMBER($D30)),$C30*$D30,"")</f>
        <v/>
      </c>
      <c r="F30" s="8">
        <f>IF(AND(ISNUMBER($C30),ISNUMBER($D30)),ROUND($C30*(1+$D30/30),1),"")</f>
        <v/>
      </c>
      <c r="G30" s="9">
        <f>IF($F30="","",IF(ROUND($C30*(1+$D30/30),1)=ROUND(SUMPRODUCT(MAX(($B$2:$B30=$B30)*N($C$2:$C30)*(1+N($D$2:$D30)/30))),1),"🏆 PR",""))</f>
        <v/>
      </c>
    </row>
    <row r="31">
      <c r="A31" s="6" t="n"/>
      <c r="B31" s="7" t="n"/>
      <c r="C31" s="7" t="n"/>
      <c r="D31" s="7" t="n"/>
      <c r="E31" s="8">
        <f>IF(AND(ISNUMBER($C31),ISNUMBER($D31)),$C31*$D31,"")</f>
        <v/>
      </c>
      <c r="F31" s="8">
        <f>IF(AND(ISNUMBER($C31),ISNUMBER($D31)),ROUND($C31*(1+$D31/30),1),"")</f>
        <v/>
      </c>
      <c r="G31" s="9">
        <f>IF($F31="","",IF(ROUND($C31*(1+$D31/30),1)=ROUND(SUMPRODUCT(MAX(($B$2:$B31=$B31)*N($C$2:$C31)*(1+N($D$2:$D31)/30))),1),"🏆 PR",""))</f>
        <v/>
      </c>
    </row>
    <row r="32">
      <c r="A32" s="6" t="n"/>
      <c r="B32" s="7" t="n"/>
      <c r="C32" s="7" t="n"/>
      <c r="D32" s="7" t="n"/>
      <c r="E32" s="8">
        <f>IF(AND(ISNUMBER($C32),ISNUMBER($D32)),$C32*$D32,"")</f>
        <v/>
      </c>
      <c r="F32" s="8">
        <f>IF(AND(ISNUMBER($C32),ISNUMBER($D32)),ROUND($C32*(1+$D32/30),1),"")</f>
        <v/>
      </c>
      <c r="G32" s="9">
        <f>IF($F32="","",IF(ROUND($C32*(1+$D32/30),1)=ROUND(SUMPRODUCT(MAX(($B$2:$B32=$B32)*N($C$2:$C32)*(1+N($D$2:$D32)/30))),1),"🏆 PR",""))</f>
        <v/>
      </c>
    </row>
    <row r="33">
      <c r="A33" s="6" t="n"/>
      <c r="B33" s="7" t="n"/>
      <c r="C33" s="7" t="n"/>
      <c r="D33" s="7" t="n"/>
      <c r="E33" s="8">
        <f>IF(AND(ISNUMBER($C33),ISNUMBER($D33)),$C33*$D33,"")</f>
        <v/>
      </c>
      <c r="F33" s="8">
        <f>IF(AND(ISNUMBER($C33),ISNUMBER($D33)),ROUND($C33*(1+$D33/30),1),"")</f>
        <v/>
      </c>
      <c r="G33" s="9">
        <f>IF($F33="","",IF(ROUND($C33*(1+$D33/30),1)=ROUND(SUMPRODUCT(MAX(($B$2:$B33=$B33)*N($C$2:$C33)*(1+N($D$2:$D33)/30))),1),"🏆 PR",""))</f>
        <v/>
      </c>
    </row>
    <row r="34">
      <c r="A34" s="6" t="n"/>
      <c r="B34" s="7" t="n"/>
      <c r="C34" s="7" t="n"/>
      <c r="D34" s="7" t="n"/>
      <c r="E34" s="8">
        <f>IF(AND(ISNUMBER($C34),ISNUMBER($D34)),$C34*$D34,"")</f>
        <v/>
      </c>
      <c r="F34" s="8">
        <f>IF(AND(ISNUMBER($C34),ISNUMBER($D34)),ROUND($C34*(1+$D34/30),1),"")</f>
        <v/>
      </c>
      <c r="G34" s="9">
        <f>IF($F34="","",IF(ROUND($C34*(1+$D34/30),1)=ROUND(SUMPRODUCT(MAX(($B$2:$B34=$B34)*N($C$2:$C34)*(1+N($D$2:$D34)/30))),1),"🏆 PR",""))</f>
        <v/>
      </c>
    </row>
    <row r="35">
      <c r="A35" s="6" t="n"/>
      <c r="B35" s="7" t="n"/>
      <c r="C35" s="7" t="n"/>
      <c r="D35" s="7" t="n"/>
      <c r="E35" s="8">
        <f>IF(AND(ISNUMBER($C35),ISNUMBER($D35)),$C35*$D35,"")</f>
        <v/>
      </c>
      <c r="F35" s="8">
        <f>IF(AND(ISNUMBER($C35),ISNUMBER($D35)),ROUND($C35*(1+$D35/30),1),"")</f>
        <v/>
      </c>
      <c r="G35" s="9">
        <f>IF($F35="","",IF(ROUND($C35*(1+$D35/30),1)=ROUND(SUMPRODUCT(MAX(($B$2:$B35=$B35)*N($C$2:$C35)*(1+N($D$2:$D35)/30))),1),"🏆 PR",""))</f>
        <v/>
      </c>
    </row>
    <row r="36">
      <c r="A36" s="6" t="n"/>
      <c r="B36" s="7" t="n"/>
      <c r="C36" s="7" t="n"/>
      <c r="D36" s="7" t="n"/>
      <c r="E36" s="8">
        <f>IF(AND(ISNUMBER($C36),ISNUMBER($D36)),$C36*$D36,"")</f>
        <v/>
      </c>
      <c r="F36" s="8">
        <f>IF(AND(ISNUMBER($C36),ISNUMBER($D36)),ROUND($C36*(1+$D36/30),1),"")</f>
        <v/>
      </c>
      <c r="G36" s="9">
        <f>IF($F36="","",IF(ROUND($C36*(1+$D36/30),1)=ROUND(SUMPRODUCT(MAX(($B$2:$B36=$B36)*N($C$2:$C36)*(1+N($D$2:$D36)/30))),1),"🏆 PR",""))</f>
        <v/>
      </c>
    </row>
    <row r="37">
      <c r="A37" s="6" t="n"/>
      <c r="B37" s="7" t="n"/>
      <c r="C37" s="7" t="n"/>
      <c r="D37" s="7" t="n"/>
      <c r="E37" s="8">
        <f>IF(AND(ISNUMBER($C37),ISNUMBER($D37)),$C37*$D37,"")</f>
        <v/>
      </c>
      <c r="F37" s="8">
        <f>IF(AND(ISNUMBER($C37),ISNUMBER($D37)),ROUND($C37*(1+$D37/30),1),"")</f>
        <v/>
      </c>
      <c r="G37" s="9">
        <f>IF($F37="","",IF(ROUND($C37*(1+$D37/30),1)=ROUND(SUMPRODUCT(MAX(($B$2:$B37=$B37)*N($C$2:$C37)*(1+N($D$2:$D37)/30))),1),"🏆 PR",""))</f>
        <v/>
      </c>
    </row>
    <row r="38">
      <c r="A38" s="6" t="n"/>
      <c r="B38" s="7" t="n"/>
      <c r="C38" s="7" t="n"/>
      <c r="D38" s="7" t="n"/>
      <c r="E38" s="8">
        <f>IF(AND(ISNUMBER($C38),ISNUMBER($D38)),$C38*$D38,"")</f>
        <v/>
      </c>
      <c r="F38" s="8">
        <f>IF(AND(ISNUMBER($C38),ISNUMBER($D38)),ROUND($C38*(1+$D38/30),1),"")</f>
        <v/>
      </c>
      <c r="G38" s="9">
        <f>IF($F38="","",IF(ROUND($C38*(1+$D38/30),1)=ROUND(SUMPRODUCT(MAX(($B$2:$B38=$B38)*N($C$2:$C38)*(1+N($D$2:$D38)/30))),1),"🏆 PR",""))</f>
        <v/>
      </c>
    </row>
    <row r="39">
      <c r="A39" s="6" t="n"/>
      <c r="B39" s="7" t="n"/>
      <c r="C39" s="7" t="n"/>
      <c r="D39" s="7" t="n"/>
      <c r="E39" s="8">
        <f>IF(AND(ISNUMBER($C39),ISNUMBER($D39)),$C39*$D39,"")</f>
        <v/>
      </c>
      <c r="F39" s="8">
        <f>IF(AND(ISNUMBER($C39),ISNUMBER($D39)),ROUND($C39*(1+$D39/30),1),"")</f>
        <v/>
      </c>
      <c r="G39" s="9">
        <f>IF($F39="","",IF(ROUND($C39*(1+$D39/30),1)=ROUND(SUMPRODUCT(MAX(($B$2:$B39=$B39)*N($C$2:$C39)*(1+N($D$2:$D39)/30))),1),"🏆 PR",""))</f>
        <v/>
      </c>
    </row>
    <row r="40">
      <c r="A40" s="6" t="n"/>
      <c r="B40" s="7" t="n"/>
      <c r="C40" s="7" t="n"/>
      <c r="D40" s="7" t="n"/>
      <c r="E40" s="8">
        <f>IF(AND(ISNUMBER($C40),ISNUMBER($D40)),$C40*$D40,"")</f>
        <v/>
      </c>
      <c r="F40" s="8">
        <f>IF(AND(ISNUMBER($C40),ISNUMBER($D40)),ROUND($C40*(1+$D40/30),1),"")</f>
        <v/>
      </c>
      <c r="G40" s="9">
        <f>IF($F40="","",IF(ROUND($C40*(1+$D40/30),1)=ROUND(SUMPRODUCT(MAX(($B$2:$B40=$B40)*N($C$2:$C40)*(1+N($D$2:$D40)/30))),1),"🏆 PR",""))</f>
        <v/>
      </c>
    </row>
    <row r="41">
      <c r="A41" s="6" t="n"/>
      <c r="B41" s="7" t="n"/>
      <c r="C41" s="7" t="n"/>
      <c r="D41" s="7" t="n"/>
      <c r="E41" s="8">
        <f>IF(AND(ISNUMBER($C41),ISNUMBER($D41)),$C41*$D41,"")</f>
        <v/>
      </c>
      <c r="F41" s="8">
        <f>IF(AND(ISNUMBER($C41),ISNUMBER($D41)),ROUND($C41*(1+$D41/30),1),"")</f>
        <v/>
      </c>
      <c r="G41" s="9">
        <f>IF($F41="","",IF(ROUND($C41*(1+$D41/30),1)=ROUND(SUMPRODUCT(MAX(($B$2:$B41=$B41)*N($C$2:$C41)*(1+N($D$2:$D41)/30))),1),"🏆 PR",""))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2">
      <c r="B2" s="1" t="inlineStr">
        <is>
          <t>You're using OVERLOAD — Free Lite</t>
        </is>
      </c>
    </row>
    <row r="3">
      <c r="B3" s="2" t="inlineStr">
        <is>
          <t>Free to log &amp; spot PRs. The full version turns it into a coach.</t>
        </is>
      </c>
    </row>
    <row r="5">
      <c r="B5" s="10" t="inlineStr">
        <is>
          <t>The full version adds:</t>
        </is>
      </c>
    </row>
    <row r="6">
      <c r="B6" s="4" t="inlineStr">
        <is>
          <t>✓  A Progress dashboard — best 1RM, total volume, weekly workload</t>
        </is>
      </c>
    </row>
    <row r="7">
      <c r="B7" s="4" t="inlineStr">
        <is>
          <t>✓  Suggested NEXT weight for every lift (progressive overload, done for you)</t>
        </is>
      </c>
    </row>
    <row r="8">
      <c r="B8" s="4" t="inlineStr">
        <is>
          <t>✓  Up to 25 custom lifts with a dropdown</t>
        </is>
      </c>
    </row>
    <row r="9">
      <c r="B9" s="4" t="inlineStr">
        <is>
          <t>✓  Best-lift tracking and kg⇄lb switch in one cell</t>
        </is>
      </c>
    </row>
    <row r="11" ht="30" customHeight="1">
      <c r="B11" s="11" t="inlineStr">
        <is>
          <t>👉  Get OVERLOAD (full version) — $5</t>
        </is>
      </c>
    </row>
    <row r="12">
      <c r="B12" s="12" t="inlineStr">
        <is>
          <t>https://[your-store-link]   ← replace with your Gumroad/Etsy URL</t>
        </is>
      </c>
    </row>
    <row r="14">
      <c r="B14" s="2" t="inlineStr">
        <is>
          <t>Free to use and share. If it helped you, the full version is a few dollars and does a lot more.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2026-08-15T13:44:44Z</dcterms:created>
  <dcterms:modified xsi:type="dcterms:W3CDTF">2026-08-15T13:44:44Z</dcterms:modified>
</cp:coreProperties>
</file>